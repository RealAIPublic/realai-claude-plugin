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ro Forma" sheetId="2" state="visible" r:id="rId4"/>
    <sheet name="Sources &amp; Uses" sheetId="3" state="visible" r:id="rId5"/>
    <sheet name="Rent Comps" sheetId="4" state="visible" r:id="rId6"/>
    <sheet name="Sales Comps" sheetId="5" state="visible" r:id="rId7"/>
    <sheet name="Debt Schedule" sheetId="6" state="visible" r:id="rId8"/>
    <sheet name="Returns Summary" sheetId="7" state="visible" r:id="rId9"/>
    <sheet name="Waterfall" sheetId="8" state="visible" r:id="rId10"/>
    <sheet name="Sensitivity" sheetId="9" state="visible" r:id="rId11"/>
    <sheet name="Summary" sheetId="10" state="visible" r:id="rId12"/>
    <sheet name="_SensCalc" sheetId="11" state="hidden" r:id="rId13"/>
    <sheet name="_PreparationAudit" sheetId="12" state="hidden" r:id="rId14"/>
  </sheets>
  <definedNames>
    <definedName function="false" hidden="false" localSheetId="0" name="_xlnm.Print_Area" vbProcedure="false">Assumptions!$A$1:$R$87</definedName>
    <definedName function="false" hidden="false" localSheetId="5" name="_xlnm.Print_Area" vbProcedure="false">'Debt Schedule'!$A$1:$M$20</definedName>
    <definedName function="false" hidden="false" localSheetId="1" name="_xlnm.Print_Area" vbProcedure="false">'Pro Forma'!$A$1:$N$44</definedName>
    <definedName function="false" hidden="false" localSheetId="6" name="_xlnm.Print_Area" vbProcedure="false">'Returns Summary'!$A$1:$N$39</definedName>
    <definedName function="false" hidden="false" localSheetId="4" name="_xlnm.Print_Area" vbProcedure="false">'Sales Comps'!$A$1:$L$38</definedName>
    <definedName function="false" hidden="false" localSheetId="8" name="_xlnm.Print_Area" vbProcedure="false">Sensitivity!$A$1:$I$31</definedName>
    <definedName function="false" hidden="false" localSheetId="2" name="_xlnm.Print_Area" vbProcedure="false">'Sources &amp; Uses'!$A$1:$I$12</definedName>
    <definedName function="false" hidden="false" localSheetId="9" name="_xlnm.Print_Area" vbProcedure="false">Summary!$A$1:$G$38</definedName>
    <definedName function="false" hidden="false" localSheetId="7" name="_xlnm.Print_Area" vbProcedure="false">Waterfall!$A$1:$N$97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<sst xmlns="http://schemas.openxmlformats.org/spreadsheetml/2006/main" count="3178" uniqueCount="1003">
  <si>
    <t xml:space="preserve">RealAI — Real Estate Investment Pro Forma</t>
  </si>
  <si>
    <t xml:space="preserve">Blue = Input  |  Black = Formula  |  Green = Cross-Tab Link</t>
  </si>
  <si>
    <t xml:space="preserve">PROPERTY OVERVIEW</t>
  </si>
  <si>
    <t xml:space="preserve">KEY METRICS</t>
  </si>
  <si>
    <t xml:space="preserve">Property Name</t>
  </si>
  <si>
    <t xml:space="preserve">T12 Cap Rate</t>
  </si>
  <si>
    <t xml:space="preserve">Address</t>
  </si>
  <si>
    <t xml:space="preserve">Year 1 Cap Rate</t>
  </si>
  <si>
    <t xml:space="preserve">City, State, Zip</t>
  </si>
  <si>
    <t xml:space="preserve">Yield on Cost</t>
  </si>
  <si>
    <t xml:space="preserve">Property Type</t>
  </si>
  <si>
    <t xml:space="preserve">Unlevered IRR</t>
  </si>
  <si>
    <t xml:space="preserve">Unit Count</t>
  </si>
  <si>
    <t xml:space="preserve">Levered IRR</t>
  </si>
  <si>
    <t xml:space="preserve">Rentable Square Feet</t>
  </si>
  <si>
    <t xml:space="preserve">Avg Cash-on-Cash</t>
  </si>
  <si>
    <t xml:space="preserve">Year Built</t>
  </si>
  <si>
    <t xml:space="preserve">Equity Multiple</t>
  </si>
  <si>
    <t xml:space="preserve">Year Renovated</t>
  </si>
  <si>
    <t xml:space="preserve">ACQUISITION</t>
  </si>
  <si>
    <t xml:space="preserve">GROWTH &amp; HOLD PERIOD</t>
  </si>
  <si>
    <t xml:space="preserve">Purchase Price</t>
  </si>
  <si>
    <t xml:space="preserve">Hold Period (Years)</t>
  </si>
  <si>
    <t xml:space="preserve">Price / Unit</t>
  </si>
  <si>
    <t xml:space="preserve">Rent Growth (%/yr)</t>
  </si>
  <si>
    <t xml:space="preserve">Price / SF</t>
  </si>
  <si>
    <t xml:space="preserve">Expense Growth (%/yr)</t>
  </si>
  <si>
    <t xml:space="preserve">Closing Costs (%)</t>
  </si>
  <si>
    <t xml:space="preserve">Other Income Growth</t>
  </si>
  <si>
    <t xml:space="preserve">Total Basis </t>
  </si>
  <si>
    <t xml:space="preserve">Stabilized Occupancy</t>
  </si>
  <si>
    <t xml:space="preserve">DISPOSITION</t>
  </si>
  <si>
    <t xml:space="preserve">YEAR-BY-YEAR OVERRIDES (OPTIONAL)</t>
  </si>
  <si>
    <t xml:space="preserve">Exit Cap Rate</t>
  </si>
  <si>
    <t xml:space="preserve">Use Staged Inputs</t>
  </si>
  <si>
    <t xml:space="preserve">No</t>
  </si>
  <si>
    <t xml:space="preserve">Disposition Costs (%)</t>
  </si>
  <si>
    <t xml:space="preserve">  "No" = uses single Rent Growth, Occupancy, etc. from Growth section</t>
  </si>
  <si>
    <t xml:space="preserve">  "Yes" = uses year-by-year values below (overrides single rates)</t>
  </si>
  <si>
    <t xml:space="preserve">CAPITAL EXPENDITURES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</si>
  <si>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</si>
  <si>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</si>
  <si>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</si>
  <si>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</si>
  <si>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</si>
  <si>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</si>
  <si>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</si>
  <si>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</si>
  <si>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</si>
  <si>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</si>
  <si>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Total CapEx Budget</t>
  </si>
  <si>
    <t xml:space="preserve">Rent Growth (%)</t>
  </si>
  <si>
    <t xml:space="preserve">CapEx / Unit</t>
  </si>
  <si>
    <t xml:space="preserve">Occupancy (%)</t>
  </si>
  <si>
    <t xml:space="preserve">Timing (1=Yr1 Lump, 0=Spread)</t>
  </si>
  <si>
    <t xml:space="preserve">Other Income Growth (%)</t>
  </si>
  <si>
    <t xml:space="preserve">Expense Growth (%)</t>
  </si>
  <si>
    <t xml:space="preserve">RESERVES</t>
  </si>
  <si>
    <t xml:space="preserve">T12 OPERATING STATEMENT (YEAR 0)</t>
  </si>
  <si>
    <t xml:space="preserve">OPERATING STATEMENT (YEAR 1)</t>
  </si>
  <si>
    <t xml:space="preserve">Reserves / Unit / Year</t>
  </si>
  <si>
    <t xml:space="preserve">Revenue</t>
  </si>
  <si>
    <t xml:space="preserve">Annual Reserves</t>
  </si>
  <si>
    <t xml:space="preserve">Gross Potential Rent (GPR)</t>
  </si>
  <si>
    <t xml:space="preserve">Less: Vacancy &amp; Credit Loss</t>
  </si>
  <si>
    <t xml:space="preserve">FINANCING — SENIOR DEBT</t>
  </si>
  <si>
    <t xml:space="preserve">Net Rental Income</t>
  </si>
  <si>
    <t xml:space="preserve">Loan Structure</t>
  </si>
  <si>
    <t xml:space="preserve">Interest Only</t>
  </si>
  <si>
    <t xml:space="preserve">Implied Occupancy</t>
  </si>
  <si>
    <t xml:space="preserve">Loan Code</t>
  </si>
  <si>
    <t xml:space="preserve">Other Income</t>
  </si>
  <si>
    <t xml:space="preserve">LTV (%)</t>
  </si>
  <si>
    <t xml:space="preserve">Effective Gross Income (EGI)</t>
  </si>
  <si>
    <t xml:space="preserve">Loan Amount</t>
  </si>
  <si>
    <t xml:space="preserve">Interest Rate</t>
  </si>
  <si>
    <t xml:space="preserve">Operating Expenses</t>
  </si>
  <si>
    <t xml:space="preserve">$/Year</t>
  </si>
  <si>
    <t xml:space="preserve">Per Unit</t>
  </si>
  <si>
    <t xml:space="preserve">% of EGI</t>
  </si>
  <si>
    <t xml:space="preserve">IO Period (Years)</t>
  </si>
  <si>
    <t xml:space="preserve">Real Estate Taxes</t>
  </si>
  <si>
    <t xml:space="preserve">Amortization (Years)</t>
  </si>
  <si>
    <t xml:space="preserve">Insurance</t>
  </si>
  <si>
    <t xml:space="preserve">Loan Term (Years)</t>
  </si>
  <si>
    <t xml:space="preserve">Utilities</t>
  </si>
  <si>
    <t xml:space="preserve">Repairs &amp; Maintenance</t>
  </si>
  <si>
    <t xml:space="preserve">Debt Service</t>
  </si>
  <si>
    <t xml:space="preserve">Management Fees</t>
  </si>
  <si>
    <t xml:space="preserve">IO Annual Payment</t>
  </si>
  <si>
    <t xml:space="preserve">Payroll &amp; Benefits</t>
  </si>
  <si>
    <t xml:space="preserve">Amortizing Annual Payment</t>
  </si>
  <si>
    <t xml:space="preserve">General &amp; Administrative</t>
  </si>
  <si>
    <t xml:space="preserve">Advertising &amp; Marketing</t>
  </si>
  <si>
    <t xml:space="preserve">DEBT METRICS</t>
  </si>
  <si>
    <t xml:space="preserve">Other Expenses</t>
  </si>
  <si>
    <t xml:space="preserve">Total Operating Expenses</t>
  </si>
  <si>
    <t xml:space="preserve">Debt Yield</t>
  </si>
  <si>
    <t xml:space="preserve">Breakeven Occupancy</t>
  </si>
  <si>
    <t xml:space="preserve">Net Operating Income (NOI)</t>
  </si>
  <si>
    <t xml:space="preserve">Less: Replacement Reserves</t>
  </si>
  <si>
    <t xml:space="preserve">FINANCING — MEZZANINE (OPTIONAL)</t>
  </si>
  <si>
    <t xml:space="preserve">Net Cash Flow (NCF)</t>
  </si>
  <si>
    <t xml:space="preserve">Mezz Enabled (1=Yes, 0=No)</t>
  </si>
  <si>
    <t xml:space="preserve">Mezz LTV (Incremental)</t>
  </si>
  <si>
    <t xml:space="preserve">Per-Unit / Per-SF Metrics</t>
  </si>
  <si>
    <t xml:space="preserve">Mezz Rate</t>
  </si>
  <si>
    <t xml:space="preserve">NOI / Unit</t>
  </si>
  <si>
    <t xml:space="preserve">Mezz Annual Payment</t>
  </si>
  <si>
    <t xml:space="preserve">NOI / SF</t>
  </si>
  <si>
    <t xml:space="preserve">EGI / Unit</t>
  </si>
  <si>
    <t xml:space="preserve">CAPITAL STRUCTURE</t>
  </si>
  <si>
    <t xml:space="preserve">Total</t>
  </si>
  <si>
    <t xml:space="preserve">% of Total</t>
  </si>
  <si>
    <t xml:space="preserve">OpEx Ratio</t>
  </si>
  <si>
    <t xml:space="preserve">Senior Debt</t>
  </si>
  <si>
    <t xml:space="preserve">In-Place Rent / Unit / Mo</t>
  </si>
  <si>
    <t xml:space="preserve">Mezzanine Debt</t>
  </si>
  <si>
    <t xml:space="preserve">Total Debt</t>
  </si>
  <si>
    <t xml:space="preserve">Total Equity Required</t>
  </si>
  <si>
    <t xml:space="preserve">Total Capitalization</t>
  </si>
  <si>
    <t xml:space="preserve">Combined LTV</t>
  </si>
  <si>
    <t xml:space="preserve">Blended Cost of Debt</t>
  </si>
  <si>
    <t xml:space="preserve">Annual DS (IO Phase)</t>
  </si>
  <si>
    <t xml:space="preserve">Annual DS (Amort Phase)</t>
  </si>
  <si>
    <t xml:space="preserve">Equity at Close (Day-One)</t>
  </si>
  <si>
    <t xml:space="preserve">GP / LP WATERFALL STRUCTURE</t>
  </si>
  <si>
    <t xml:space="preserve">Co-Invest / Promote Structure</t>
  </si>
  <si>
    <t xml:space="preserve">  If "No", waterfall is bypassed (100% to equity holder)</t>
  </si>
  <si>
    <t xml:space="preserve">GP Co-Invest %</t>
  </si>
  <si>
    <t xml:space="preserve">LP Equity %</t>
  </si>
  <si>
    <t xml:space="preserve">GP Equity ($)</t>
  </si>
  <si>
    <t xml:space="preserve">LP Equity ($)</t>
  </si>
  <si>
    <t xml:space="preserve">Tier 1: Preferred Return</t>
  </si>
  <si>
    <t xml:space="preserve">Tier 2: Hurdle IRR</t>
  </si>
  <si>
    <t xml:space="preserve">Tier 2: GP Promote %</t>
  </si>
  <si>
    <t xml:space="preserve">Tier 3: Hurdle IRR</t>
  </si>
  <si>
    <t xml:space="preserve">Tier 3: GP Promote %</t>
  </si>
  <si>
    <t xml:space="preserve">Tier 4: GP Promote % (Residual)</t>
  </si>
  <si>
    <t xml:space="preserve">Operating Pro Forma</t>
  </si>
  <si>
    <t xml:space="preserve">Years beyond hold period are blank by design</t>
  </si>
  <si>
    <t xml:space="preserve">Year #</t>
  </si>
  <si>
    <t xml:space="preserve">Year 0 (T12)</t>
  </si>
  <si>
    <t xml:space="preserve">REVENUE</t>
  </si>
  <si>
    <t xml:space="preserve">Gross Potential Rent</t>
  </si>
  <si>
    <t xml:space="preserve">GPR Growth (YoY)</t>
  </si>
  <si>
    <t xml:space="preserve">—</t>
  </si>
  <si>
    <t xml:space="preserve">Effective Gross Income</t>
  </si>
  <si>
    <t xml:space="preserve">OPERATING EXPENSES</t>
  </si>
  <si>
    <t xml:space="preserve">OpEx Growth (YoY)</t>
  </si>
  <si>
    <t xml:space="preserve">NOI Growth (YoY)</t>
  </si>
  <si>
    <t xml:space="preserve">Unlevered Cash Flow (NOI − CapEx − Reserves)</t>
  </si>
  <si>
    <t xml:space="preserve">BELOW THE LINE</t>
  </si>
  <si>
    <t xml:space="preserve">Senior Debt Service</t>
  </si>
  <si>
    <t xml:space="preserve">Mezzanine Debt Service</t>
  </si>
  <si>
    <t xml:space="preserve">Total Debt Service</t>
  </si>
  <si>
    <t xml:space="preserve">Capital Expenditures</t>
  </si>
  <si>
    <t xml:space="preserve">Replacement Reserves</t>
  </si>
  <si>
    <t xml:space="preserve">Levered Net Cash Flow</t>
  </si>
  <si>
    <t xml:space="preserve">Cash-on-Cash Return (Levered)</t>
  </si>
  <si>
    <t xml:space="preserve">Debt Metrics </t>
  </si>
  <si>
    <t xml:space="preserve">DSCR</t>
  </si>
  <si>
    <t xml:space="preserve">Sources &amp; Uses of Capital</t>
  </si>
  <si>
    <t xml:space="preserve">SOURCES</t>
  </si>
  <si>
    <t xml:space="preserve">Amount</t>
  </si>
  <si>
    <t xml:space="preserve">%</t>
  </si>
  <si>
    <t xml:space="preserve">USES</t>
  </si>
  <si>
    <t xml:space="preserve">Closing Costs</t>
  </si>
  <si>
    <t xml:space="preserve">GP Equity (at Close)</t>
  </si>
  <si>
    <t xml:space="preserve">CapEx Budget</t>
  </si>
  <si>
    <t xml:space="preserve">LP Equity (at Close)</t>
  </si>
  <si>
    <t xml:space="preserve">Working Capital / Reserves</t>
  </si>
  <si>
    <t xml:space="preserve">LP Equity (Funded over hold)</t>
  </si>
  <si>
    <t xml:space="preserve">Total Sources</t>
  </si>
  <si>
    <t xml:space="preserve">Total Uses</t>
  </si>
  <si>
    <t xml:space="preserve">CHECK: Sources − Uses</t>
  </si>
  <si>
    <t xml:space="preserve">Rent Comps</t>
  </si>
  <si>
    <t xml:space="preserve">COMPARABLE PROPERTIES</t>
  </si>
  <si>
    <t xml:space="preserve">Subject</t>
  </si>
  <si>
    <t xml:space="preserve">Comp 1</t>
  </si>
  <si>
    <t xml:space="preserve">Comp 2</t>
  </si>
  <si>
    <t xml:space="preserve">Comp 3</t>
  </si>
  <si>
    <t xml:space="preserve">Comp 4</t>
  </si>
  <si>
    <t xml:space="preserve">Comp 5</t>
  </si>
  <si>
    <t xml:space="preserve">Comp 6</t>
  </si>
  <si>
    <t xml:space="preserve">Comp 7</t>
  </si>
  <si>
    <t xml:space="preserve">Comp 8</t>
  </si>
  <si>
    <t xml:space="preserve">Distance (mi)</t>
  </si>
  <si>
    <t xml:space="preserve">Rentable SF</t>
  </si>
  <si>
    <t xml:space="preserve">In-Place Rent / Unit</t>
  </si>
  <si>
    <t xml:space="preserve">UNIT MIX</t>
  </si>
  <si>
    <t xml:space="preserve">Studio — Units</t>
  </si>
  <si>
    <t xml:space="preserve">1 BR — Units</t>
  </si>
  <si>
    <t xml:space="preserve">2 BR — Units</t>
  </si>
  <si>
    <t xml:space="preserve">3 BR — Units</t>
  </si>
  <si>
    <t xml:space="preserve">4 BR — Units</t>
  </si>
  <si>
    <t xml:space="preserve">Total Units</t>
  </si>
  <si>
    <t xml:space="preserve">IN-PLACE RENT BY UNIT TYPE</t>
  </si>
  <si>
    <t xml:space="preserve">Studio — In-Place Rent</t>
  </si>
  <si>
    <t xml:space="preserve">1 BR — In-Place Rent</t>
  </si>
  <si>
    <t xml:space="preserve">2 BR — In-Place Rent</t>
  </si>
  <si>
    <t xml:space="preserve">3 BR — In-Place Rent</t>
  </si>
  <si>
    <t xml:space="preserve">4 BR — In-Place Rent</t>
  </si>
  <si>
    <t xml:space="preserve">In-Place Rent / Unit (Wtd Avg)</t>
  </si>
  <si>
    <t xml:space="preserve">OPERATIONAL METRICS</t>
  </si>
  <si>
    <t xml:space="preserve">Vacancy (%)</t>
  </si>
  <si>
    <t xml:space="preserve">MARKET SUMMARY</t>
  </si>
  <si>
    <t xml:space="preserve">Comp Avg In-Place Rent</t>
  </si>
  <si>
    <t xml:space="preserve">Comp Median In-Place Rent</t>
  </si>
  <si>
    <t xml:space="preserve">Min In-Place Rent / Unit</t>
  </si>
  <si>
    <t xml:space="preserve">Max In-Place Rent / Unit</t>
  </si>
  <si>
    <t xml:space="preserve">Comp Avg In-Place Rent (Wtd)</t>
  </si>
  <si>
    <t xml:space="preserve">Comp Median In-Place Rent (Wtd)</t>
  </si>
  <si>
    <t xml:space="preserve">Min In-Place Rent / Unit (Wtd)</t>
  </si>
  <si>
    <t xml:space="preserve">Max In-Place Rent / Unit (Wtd)</t>
  </si>
  <si>
    <t xml:space="preserve">Comp Avg Occupancy</t>
  </si>
  <si>
    <t xml:space="preserve">Subject In-Place Rent / Unit</t>
  </si>
  <si>
    <t xml:space="preserve">Subject Premium / (Discount)</t>
  </si>
  <si>
    <t xml:space="preserve">Subject Premium / (Discount) (Wtd)</t>
  </si>
  <si>
    <t xml:space="preserve">Sales Comps</t>
  </si>
  <si>
    <t xml:space="preserve">COMPARABLE SALES</t>
  </si>
  <si>
    <t xml:space="preserve">TRANSACTION DETAIL</t>
  </si>
  <si>
    <t xml:space="preserve">Sale Date</t>
  </si>
  <si>
    <t xml:space="preserve">Sale Price</t>
  </si>
  <si>
    <t xml:space="preserve">Buyer</t>
  </si>
  <si>
    <t xml:space="preserve">Seller</t>
  </si>
  <si>
    <t xml:space="preserve">Source / Notes</t>
  </si>
  <si>
    <t xml:space="preserve">ADJUSTMENTS</t>
  </si>
  <si>
    <t xml:space="preserve">Time (%)</t>
  </si>
  <si>
    <t xml:space="preserve">Size (%)</t>
  </si>
  <si>
    <t xml:space="preserve">Year Built / Condition (%)</t>
  </si>
  <si>
    <t xml:space="preserve">Location (%)</t>
  </si>
  <si>
    <t xml:space="preserve">Market Conditions (%)</t>
  </si>
  <si>
    <t xml:space="preserve">Total Adjustment (%)</t>
  </si>
  <si>
    <t xml:space="preserve">Weight (%)</t>
  </si>
  <si>
    <t xml:space="preserve">Adjusted Price / Unit</t>
  </si>
  <si>
    <t xml:space="preserve">CONCLUDED VALUE</t>
  </si>
  <si>
    <t xml:space="preserve">Wtd Avg Adj Price / Unit</t>
  </si>
  <si>
    <t xml:space="preserve">Implied Value (Per Unit)</t>
  </si>
  <si>
    <t xml:space="preserve">Comp Avg Price / Unit (Unadj)</t>
  </si>
  <si>
    <t xml:space="preserve">Debt Schedule</t>
  </si>
  <si>
    <t xml:space="preserve">SENIOR DEBT</t>
  </si>
  <si>
    <t xml:space="preserve">Beginning Balance</t>
  </si>
  <si>
    <t xml:space="preserve">Interest</t>
  </si>
  <si>
    <t xml:space="preserve">Scheduled Principal</t>
  </si>
  <si>
    <t xml:space="preserve">Total Payment</t>
  </si>
  <si>
    <t xml:space="preserve">Ending Balance</t>
  </si>
  <si>
    <t xml:space="preserve">COVERAGE METRICS</t>
  </si>
  <si>
    <t xml:space="preserve">Implied LTV (at Exit Cap)</t>
  </si>
  <si>
    <t xml:space="preserve">MEZZANINE DEBT</t>
  </si>
  <si>
    <t xml:space="preserve">Interest / Cash Pay</t>
  </si>
  <si>
    <t xml:space="preserve">Returns Summary &amp; Exit Analysis</t>
  </si>
  <si>
    <t xml:space="preserve">EXIT ANALYSIS</t>
  </si>
  <si>
    <t xml:space="preserve">Exit Year NOI</t>
  </si>
  <si>
    <t xml:space="preserve">Gross Disposition Value</t>
  </si>
  <si>
    <t xml:space="preserve">Less: Disposition Costs</t>
  </si>
  <si>
    <t xml:space="preserve">Less: Senior Loan Payoff</t>
  </si>
  <si>
    <t xml:space="preserve">Less: Mezz Loan Payoff</t>
  </si>
  <si>
    <t xml:space="preserve">Net Sale Proceeds</t>
  </si>
  <si>
    <t xml:space="preserve">Profit on Sale</t>
  </si>
  <si>
    <t xml:space="preserve">UNLEVERED RETURNS</t>
  </si>
  <si>
    <t xml:space="preserve">IRR</t>
  </si>
  <si>
    <t xml:space="preserve">Total Profit</t>
  </si>
  <si>
    <t xml:space="preserve">LEVERED RETURNS</t>
  </si>
  <si>
    <t xml:space="preserve">Return on Cost</t>
  </si>
  <si>
    <t xml:space="preserve">Average DSCR</t>
  </si>
  <si>
    <t xml:space="preserve">UNLEVERED CASH FLOW</t>
  </si>
  <si>
    <t xml:space="preserve">Year 0</t>
  </si>
  <si>
    <t xml:space="preserve">Total Investment</t>
  </si>
  <si>
    <t xml:space="preserve">Unlevered Operating CF</t>
  </si>
  <si>
    <t xml:space="preserve">Sale Proceeds (Net of Costs)</t>
  </si>
  <si>
    <t xml:space="preserve">Total Unlevered Cash Flow</t>
  </si>
  <si>
    <t xml:space="preserve">LEVERED CASH FLOW</t>
  </si>
  <si>
    <t xml:space="preserve">Equity Investment</t>
  </si>
  <si>
    <t xml:space="preserve">Operating Cash Flow</t>
  </si>
  <si>
    <t xml:space="preserve">Total Levered Cash Flow</t>
  </si>
  <si>
    <t xml:space="preserve">JV Equity Waterfall</t>
  </si>
  <si>
    <t xml:space="preserve">Multi-tier IRR-based promote with BOP/EOP equity tracking</t>
  </si>
  <si>
    <t xml:space="preserve">CONTRIBUTIONS &amp; DISTRIBUTIONS</t>
  </si>
  <si>
    <t xml:space="preserve">Equity Contributions</t>
  </si>
  <si>
    <t xml:space="preserve">Distributable Cash Flow</t>
  </si>
  <si>
    <t xml:space="preserve">BOP Equity Balance</t>
  </si>
  <si>
    <t xml:space="preserve">+ Contributions</t>
  </si>
  <si>
    <t xml:space="preserve">+ Pref Return Accrual</t>
  </si>
  <si>
    <t xml:space="preserve">− Distributions</t>
  </si>
  <si>
    <t xml:space="preserve">EOP Equity Balance</t>
  </si>
  <si>
    <t xml:space="preserve">Investor Distributions (100%)</t>
  </si>
  <si>
    <t xml:space="preserve">Investor CF (for IRR)</t>
  </si>
  <si>
    <t xml:space="preserve">IRR Check</t>
  </si>
  <si>
    <t xml:space="preserve">Cash to Next Tier</t>
  </si>
  <si>
    <t xml:space="preserve">+ Return Accrual</t>
  </si>
  <si>
    <t xml:space="preserve">− Prev Tier Investor Distributions</t>
  </si>
  <si>
    <t xml:space="preserve">− Current Tier Distributions</t>
  </si>
  <si>
    <t xml:space="preserve">Investor Distributions</t>
  </si>
  <si>
    <t xml:space="preserve">Promote Distributions</t>
  </si>
  <si>
    <t xml:space="preserve">LP CASH FLOW</t>
  </si>
  <si>
    <t xml:space="preserve">LP Equity Investment</t>
  </si>
  <si>
    <t xml:space="preserve">LP Operating Cash Flow</t>
  </si>
  <si>
    <t xml:space="preserve">LP Sale Proceeds</t>
  </si>
  <si>
    <t xml:space="preserve">Total LP Cash Flow</t>
  </si>
  <si>
    <t xml:space="preserve">GP CASH FLOW</t>
  </si>
  <si>
    <t xml:space="preserve">GP Equity Investment</t>
  </si>
  <si>
    <t xml:space="preserve">GP Co-Invest Operating CF</t>
  </si>
  <si>
    <t xml:space="preserve">GP Co-Invest Sale Proceeds</t>
  </si>
  <si>
    <t xml:space="preserve">GP Promote</t>
  </si>
  <si>
    <t xml:space="preserve">Total GP Cash Flow</t>
  </si>
  <si>
    <t xml:space="preserve">CHECK: LP + GP = Total Distributable</t>
  </si>
  <si>
    <t xml:space="preserve">WATERFALL SUMMARY</t>
  </si>
  <si>
    <t xml:space="preserve">LP</t>
  </si>
  <si>
    <t xml:space="preserve">GP</t>
  </si>
  <si>
    <t xml:space="preserve">Equity Invested</t>
  </si>
  <si>
    <t xml:space="preserve">Total Distributions</t>
  </si>
  <si>
    <t xml:space="preserve">Net Profit</t>
  </si>
  <si>
    <t xml:space="preserve">PROMOTE BREAKDOWN</t>
  </si>
  <si>
    <t xml:space="preserve">Total Promote</t>
  </si>
  <si>
    <t xml:space="preserve">TIER STATUS</t>
  </si>
  <si>
    <t xml:space="preserve">Cleared?</t>
  </si>
  <si>
    <t xml:space="preserve">IRR at Exit</t>
  </si>
  <si>
    <t xml:space="preserve">Sensitivity Analysis</t>
  </si>
  <si>
    <t xml:space="preserve">All values compute automatically — no manual steps required</t>
  </si>
  <si>
    <t xml:space="preserve">TABLE 1: Levered IRR — Exit Cap vs. Rent Growth</t>
  </si>
  <si>
    <t xml:space="preserve">Exit Cap ↓  Rent Gr →</t>
  </si>
  <si>
    <t xml:space="preserve">TABLE 2: Equity Multiple — Exit Cap vs. Rent Growth</t>
  </si>
  <si>
    <t xml:space="preserve">TABLE 3: Levered IRR — Purchase Price vs. LTV</t>
  </si>
  <si>
    <t xml:space="preserve">Price ↓  LTV →</t>
  </si>
  <si>
    <t xml:space="preserve">Investment Summary</t>
  </si>
  <si>
    <t xml:space="preserve">One-page overview — all values linked to model</t>
  </si>
  <si>
    <t xml:space="preserve">PROPERTY</t>
  </si>
  <si>
    <t xml:space="preserve">T12 OPERATING</t>
  </si>
  <si>
    <t xml:space="preserve">Location</t>
  </si>
  <si>
    <t xml:space="preserve">Total OpEx</t>
  </si>
  <si>
    <t xml:space="preserve">Net Operating Income</t>
  </si>
  <si>
    <t xml:space="preserve">Units</t>
  </si>
  <si>
    <t xml:space="preserve">Total Equity</t>
  </si>
  <si>
    <t xml:space="preserve">Total Basis</t>
  </si>
  <si>
    <t xml:space="preserve">FINANCING</t>
  </si>
  <si>
    <t xml:space="preserve">HOLD PERIOD &amp; EXIT</t>
  </si>
  <si>
    <t xml:space="preserve">Hold Period</t>
  </si>
  <si>
    <t xml:space="preserve">Rent Growth</t>
  </si>
  <si>
    <t xml:space="preserve">LTV</t>
  </si>
  <si>
    <t xml:space="preserve">Expense Growth</t>
  </si>
  <si>
    <t xml:space="preserve">IO Period</t>
  </si>
  <si>
    <t xml:space="preserve">Exit Value</t>
  </si>
  <si>
    <t xml:space="preserve">Amortization</t>
  </si>
  <si>
    <t xml:space="preserve">ENTRY METRICS</t>
  </si>
  <si>
    <t xml:space="preserve">Going-In DSCR</t>
  </si>
  <si>
    <t xml:space="preserve">Avg DSCR</t>
  </si>
  <si>
    <t xml:space="preserve">WATERFALL (if Co-Invest)</t>
  </si>
  <si>
    <t xml:space="preserve">LP IRR</t>
  </si>
  <si>
    <t xml:space="preserve">GP IRR</t>
  </si>
  <si>
    <t xml:space="preserve">timestamp_utc</t>
  </si>
  <si>
    <t xml:space="preserve">location</t>
  </si>
  <si>
    <t xml:space="preserve">action</t>
  </si>
  <si>
    <t xml:space="preserve">value_class_before</t>
  </si>
  <si>
    <t xml:space="preserve">prior_value_redacted</t>
  </si>
  <si>
    <t xml:space="preserve">before_hash</t>
  </si>
  <si>
    <t xml:space="preserve">after_state</t>
  </si>
  <si>
    <t xml:space="preserve">category</t>
  </si>
  <si>
    <t xml:space="preserve">runtime_source_class</t>
  </si>
  <si>
    <t xml:space="preserve">rationale</t>
  </si>
  <si>
    <t xml:space="preserve">approved_by_user</t>
  </si>
  <si>
    <t xml:space="preserve">confidence</t>
  </si>
  <si>
    <t xml:space="preserve">2026-05-04T19:50:44.229823+00:00</t>
  </si>
  <si>
    <t xml:space="preserve">workbook.properties.creator</t>
  </si>
  <si>
    <t xml:space="preserve">strip_metadata</t>
  </si>
  <si>
    <t xml:space="preserve">text</t>
  </si>
  <si>
    <t xml:space="preserve">sha256:00feee1b73a4763230ea5e619a83f78cf117e0a64f76aba018dc58387ee18505</t>
  </si>
  <si>
    <t xml:space="preserve">blank</t>
  </si>
  <si>
    <t xml:space="preserve">I.1</t>
  </si>
  <si>
    <t xml:space="preserve">metadata</t>
  </si>
  <si>
    <t xml:space="preserve">Removed workbook metadata</t>
  </si>
  <si>
    <t xml:space="preserve">high</t>
  </si>
  <si>
    <t xml:space="preserve">2026-05-04T19:50:44.229890+00:00</t>
  </si>
  <si>
    <t xml:space="preserve">workbook.properties.lastModifiedBy</t>
  </si>
  <si>
    <t xml:space="preserve">sha256:a804cb60e46ed851148feb63b7cb7a7fee3d87199675b287c70c0ebdcf565a22</t>
  </si>
  <si>
    <t xml:space="preserve">2026-05-04T19:50:44.229931+00:00</t>
  </si>
  <si>
    <t xml:space="preserve">workbook.properties.lastPrinted</t>
  </si>
  <si>
    <t xml:space="preserve">datetime</t>
  </si>
  <si>
    <t xml:space="preserve">sha256:57d05245d812953fd177f85bd946b0ffeb630ca2860f3adffc31c8f719dc1168</t>
  </si>
  <si>
    <t xml:space="preserve">2026-05-04T19:50:44.229990+00:00</t>
  </si>
  <si>
    <t xml:space="preserve">Assumptions!C9</t>
  </si>
  <si>
    <t xml:space="preserve">clear_value</t>
  </si>
  <si>
    <t xml:space="preserve">number</t>
  </si>
  <si>
    <t xml:space="preserve">sha256:023849c38925e2af028a2eb4e1dc41afd7dc7a238195c1c2ae00438d1dae00e1</t>
  </si>
  <si>
    <t xml:space="preserve">C.9</t>
  </si>
  <si>
    <t xml:space="preserve">user_required_table_input</t>
  </si>
  <si>
    <t xml:space="preserve">comprehensive_input_inventory: cell sits inside a detected runtime-input table region; table cells are runtime input by definition</t>
  </si>
  <si>
    <t xml:space="preserve">2026-05-04T19:50:44.230036+00:00</t>
  </si>
  <si>
    <t xml:space="preserve">Assumptions!C10</t>
  </si>
  <si>
    <t xml:space="preserve">medium_number</t>
  </si>
  <si>
    <t xml:space="preserve">sha256:3bf4df133bef96835123a05f1cac5db29351256fa15ef59df764004f33365747</t>
  </si>
  <si>
    <t xml:space="preserve">2026-05-04T19:50:44.230080+00:00</t>
  </si>
  <si>
    <t xml:space="preserve">Assumptions!C11</t>
  </si>
  <si>
    <t xml:space="preserve">sha256:3f83e9ad5be63bd5bf2fd009fffe6b7dd4066243975bc962edc37459c17e65b9</t>
  </si>
  <si>
    <t xml:space="preserve">2026-05-04T19:50:44.230115+00:00</t>
  </si>
  <si>
    <t xml:space="preserve">Assumptions!C12</t>
  </si>
  <si>
    <t xml:space="preserve">sha256:7931aa2a1bed855457d1ddf6bc06ab4406a9fba0579045a4d6ff78f9c07c440f</t>
  </si>
  <si>
    <t xml:space="preserve">2026-05-04T19:50:44.230155+00:00</t>
  </si>
  <si>
    <t xml:space="preserve">Assumptions!C15</t>
  </si>
  <si>
    <t xml:space="preserve">large_number</t>
  </si>
  <si>
    <t xml:space="preserve">sha256:aa3fc64fafa057ded2969151621f5095947b91a88a9163af70e2a886d2fa9408</t>
  </si>
  <si>
    <t xml:space="preserve">2026-05-04T19:50:44.230189+00:00</t>
  </si>
  <si>
    <t xml:space="preserve">Assumptions!H15</t>
  </si>
  <si>
    <t xml:space="preserve">sha256:4a44dc15364204a80fe80e9039455cc1608281820fe2b24f1e5233ade6af1dd5</t>
  </si>
  <si>
    <t xml:space="preserve">2026-05-04T19:50:44.230224+00:00</t>
  </si>
  <si>
    <t xml:space="preserve">Assumptions!H16</t>
  </si>
  <si>
    <t xml:space="preserve">rate_or_ratio</t>
  </si>
  <si>
    <t xml:space="preserve">sha256:773a15ec53a8a09eadd719b7f5aa67aa87b2175e6ec3c92e9641ddba7e54fb63</t>
  </si>
  <si>
    <t xml:space="preserve">2026-05-04T19:50:44.230263+00:00</t>
  </si>
  <si>
    <t xml:space="preserve">Assumptions!H17</t>
  </si>
  <si>
    <t xml:space="preserve">sha256:a7e46abf169710b34fe8898b950d57ec0863c3a4190e4b38c56b1f9f257d50e7</t>
  </si>
  <si>
    <t xml:space="preserve">2026-05-04T19:50:44.230296+00:00</t>
  </si>
  <si>
    <t xml:space="preserve">Assumptions!C18</t>
  </si>
  <si>
    <t xml:space="preserve">2026-05-04T19:50:44.230328+00:00</t>
  </si>
  <si>
    <t xml:space="preserve">Assumptions!H18</t>
  </si>
  <si>
    <t xml:space="preserve">2026-05-04T19:50:44.230374+00:00</t>
  </si>
  <si>
    <t xml:space="preserve">Assumptions!H19</t>
  </si>
  <si>
    <t xml:space="preserve">sha256:7e6beeac81b39df158e061f92a00f610b7ba77ade1501d451c3b64af9056859a</t>
  </si>
  <si>
    <t xml:space="preserve">2026-05-04T19:50:44.230407+00:00</t>
  </si>
  <si>
    <t xml:space="preserve">Assumptions!C22</t>
  </si>
  <si>
    <t xml:space="preserve">sha256:acedb149eb1ec1d8c039a1b666bf43294726fadfbc3d5c5257d1ce07577e7c04</t>
  </si>
  <si>
    <t xml:space="preserve">2026-05-04T19:50:44.230439+00:00</t>
  </si>
  <si>
    <t xml:space="preserve">Assumptions!C23</t>
  </si>
  <si>
    <t xml:space="preserve">2026-05-04T19:50:44.230476+00:00</t>
  </si>
  <si>
    <t xml:space="preserve">Assumptions!C26</t>
  </si>
  <si>
    <t xml:space="preserve">sha256:5feceb66ffc86f38d952786c6d696c79c2dbc239dd4e91b46729d73a27fb57e9</t>
  </si>
  <si>
    <t xml:space="preserve">2026-05-04T19:50:44.230509+00:00</t>
  </si>
  <si>
    <t xml:space="preserve">Assumptions!H26</t>
  </si>
  <si>
    <t xml:space="preserve">sha256:0602d7c813c1f6e7351a5832730f29daf739674976caba8d9dd955be838d46ea</t>
  </si>
  <si>
    <t xml:space="preserve">2026-05-04T19:50:44.230542+00:00</t>
  </si>
  <si>
    <t xml:space="preserve">Assumptions!I26</t>
  </si>
  <si>
    <t xml:space="preserve">user_required_or_datamart</t>
  </si>
  <si>
    <t xml:space="preserve">comprehensive_input_inventory: rate input cell, no preservation rule matched</t>
  </si>
  <si>
    <t xml:space="preserve">medium</t>
  </si>
  <si>
    <t xml:space="preserve">2026-05-04T19:50:44.230578+00:00</t>
  </si>
  <si>
    <t xml:space="preserve">Assumptions!J26</t>
  </si>
  <si>
    <t xml:space="preserve">2026-05-04T19:50:44.230610+00:00</t>
  </si>
  <si>
    <t xml:space="preserve">Assumptions!K26</t>
  </si>
  <si>
    <t xml:space="preserve">2026-05-04T19:50:44.230649+00:00</t>
  </si>
  <si>
    <t xml:space="preserve">Assumptions!L26</t>
  </si>
  <si>
    <t xml:space="preserve">2026-05-04T19:50:44.230681+00:00</t>
  </si>
  <si>
    <t xml:space="preserve">Assumptions!M26</t>
  </si>
  <si>
    <t xml:space="preserve">2026-05-04T19:50:44.230712+00:00</t>
  </si>
  <si>
    <t xml:space="preserve">Assumptions!N26</t>
  </si>
  <si>
    <t xml:space="preserve">2026-05-04T19:50:44.230748+00:00</t>
  </si>
  <si>
    <t xml:space="preserve">Assumptions!O26</t>
  </si>
  <si>
    <t xml:space="preserve">2026-05-04T19:50:44.230783+00:00</t>
  </si>
  <si>
    <t xml:space="preserve">Assumptions!P26</t>
  </si>
  <si>
    <t xml:space="preserve">2026-05-04T19:50:44.230814+00:00</t>
  </si>
  <si>
    <t xml:space="preserve">Assumptions!Q26</t>
  </si>
  <si>
    <t xml:space="preserve">2026-05-04T19:50:44.230849+00:00</t>
  </si>
  <si>
    <t xml:space="preserve">Assumptions!H27</t>
  </si>
  <si>
    <t xml:space="preserve">2026-05-04T19:50:44.230883+00:00</t>
  </si>
  <si>
    <t xml:space="preserve">Assumptions!I27</t>
  </si>
  <si>
    <t xml:space="preserve">2026-05-04T19:50:44.230914+00:00</t>
  </si>
  <si>
    <t xml:space="preserve">Assumptions!J27</t>
  </si>
  <si>
    <t xml:space="preserve">2026-05-04T19:50:44.230952+00:00</t>
  </si>
  <si>
    <t xml:space="preserve">Assumptions!K27</t>
  </si>
  <si>
    <t xml:space="preserve">2026-05-04T19:50:44.230983+00:00</t>
  </si>
  <si>
    <t xml:space="preserve">Assumptions!L27</t>
  </si>
  <si>
    <t xml:space="preserve">2026-05-04T19:50:44.231018+00:00</t>
  </si>
  <si>
    <t xml:space="preserve">Assumptions!M27</t>
  </si>
  <si>
    <t xml:space="preserve">2026-05-04T19:50:44.231048+00:00</t>
  </si>
  <si>
    <t xml:space="preserve">Assumptions!N27</t>
  </si>
  <si>
    <t xml:space="preserve">2026-05-04T19:50:44.231077+00:00</t>
  </si>
  <si>
    <t xml:space="preserve">Assumptions!O27</t>
  </si>
  <si>
    <t xml:space="preserve">2026-05-04T19:50:44.231114+00:00</t>
  </si>
  <si>
    <t xml:space="preserve">Assumptions!P27</t>
  </si>
  <si>
    <t xml:space="preserve">2026-05-04T19:50:44.231145+00:00</t>
  </si>
  <si>
    <t xml:space="preserve">Assumptions!Q27</t>
  </si>
  <si>
    <t xml:space="preserve">2026-05-04T19:50:44.231175+00:00</t>
  </si>
  <si>
    <t xml:space="preserve">Assumptions!C28</t>
  </si>
  <si>
    <t xml:space="preserve">2026-05-04T19:50:44.231211+00:00</t>
  </si>
  <si>
    <t xml:space="preserve">Assumptions!H28</t>
  </si>
  <si>
    <t xml:space="preserve">2026-05-04T19:50:44.231243+00:00</t>
  </si>
  <si>
    <t xml:space="preserve">Assumptions!I28</t>
  </si>
  <si>
    <t xml:space="preserve">2026-05-04T19:50:44.231277+00:00</t>
  </si>
  <si>
    <t xml:space="preserve">Assumptions!J28</t>
  </si>
  <si>
    <t xml:space="preserve">2026-05-04T19:50:44.231320+00:00</t>
  </si>
  <si>
    <t xml:space="preserve">Assumptions!K28</t>
  </si>
  <si>
    <t xml:space="preserve">2026-05-04T19:50:44.231352+00:00</t>
  </si>
  <si>
    <t xml:space="preserve">Assumptions!L28</t>
  </si>
  <si>
    <t xml:space="preserve">2026-05-04T19:50:44.231382+00:00</t>
  </si>
  <si>
    <t xml:space="preserve">Assumptions!M28</t>
  </si>
  <si>
    <t xml:space="preserve">2026-05-04T19:50:44.231428+00:00</t>
  </si>
  <si>
    <t xml:space="preserve">Assumptions!N28</t>
  </si>
  <si>
    <t xml:space="preserve">2026-05-04T19:50:44.231465+00:00</t>
  </si>
  <si>
    <t xml:space="preserve">Assumptions!O28</t>
  </si>
  <si>
    <t xml:space="preserve">2026-05-04T19:50:44.231502+00:00</t>
  </si>
  <si>
    <t xml:space="preserve">Assumptions!P28</t>
  </si>
  <si>
    <t xml:space="preserve">2026-05-04T19:50:44.231534+00:00</t>
  </si>
  <si>
    <t xml:space="preserve">Assumptions!Q28</t>
  </si>
  <si>
    <t xml:space="preserve">2026-05-04T19:50:44.231564+00:00</t>
  </si>
  <si>
    <t xml:space="preserve">Assumptions!H29</t>
  </si>
  <si>
    <t xml:space="preserve">2026-05-04T19:50:44.231600+00:00</t>
  </si>
  <si>
    <t xml:space="preserve">Assumptions!I29</t>
  </si>
  <si>
    <t xml:space="preserve">2026-05-04T19:50:44.231636+00:00</t>
  </si>
  <si>
    <t xml:space="preserve">Assumptions!J29</t>
  </si>
  <si>
    <t xml:space="preserve">2026-05-04T19:50:44.231667+00:00</t>
  </si>
  <si>
    <t xml:space="preserve">Assumptions!K29</t>
  </si>
  <si>
    <t xml:space="preserve">2026-05-04T19:50:44.231702+00:00</t>
  </si>
  <si>
    <t xml:space="preserve">Assumptions!L29</t>
  </si>
  <si>
    <t xml:space="preserve">2026-05-04T19:50:44.231733+00:00</t>
  </si>
  <si>
    <t xml:space="preserve">Assumptions!M29</t>
  </si>
  <si>
    <t xml:space="preserve">2026-05-04T19:50:44.231764+00:00</t>
  </si>
  <si>
    <t xml:space="preserve">Assumptions!N29</t>
  </si>
  <si>
    <t xml:space="preserve">2026-05-04T19:50:44.231804+00:00</t>
  </si>
  <si>
    <t xml:space="preserve">Assumptions!O29</t>
  </si>
  <si>
    <t xml:space="preserve">2026-05-04T19:50:44.231842+00:00</t>
  </si>
  <si>
    <t xml:space="preserve">Assumptions!P29</t>
  </si>
  <si>
    <t xml:space="preserve">2026-05-04T19:50:44.232012+00:00</t>
  </si>
  <si>
    <t xml:space="preserve">Assumptions!Q29</t>
  </si>
  <si>
    <t xml:space="preserve">2026-05-04T19:50:44.232051+00:00</t>
  </si>
  <si>
    <t xml:space="preserve">Assumptions!C32</t>
  </si>
  <si>
    <t xml:space="preserve">sha256:9e6a72557ada15d02001f024f43f06edc4a31437e0e1bb3eeac36ca2d0c4fda7</t>
  </si>
  <si>
    <t xml:space="preserve">2026-05-04T19:50:44.232084+00:00</t>
  </si>
  <si>
    <t xml:space="preserve">Assumptions!H33</t>
  </si>
  <si>
    <t xml:space="preserve">sha256:811e97d3aa4709de52adc3ff35c86efd966a6a80fbea500c732aaf9b76aa7404</t>
  </si>
  <si>
    <t xml:space="preserve">2026-05-04T19:50:44.232125+00:00</t>
  </si>
  <si>
    <t xml:space="preserve">Assumptions!H34</t>
  </si>
  <si>
    <t xml:space="preserve">sha256:bb89e15d45ff046851842053ee88904d842a3d61ec0336e15a95ad1655f8cedc</t>
  </si>
  <si>
    <t xml:space="preserve">2026-05-04T19:50:44.232158+00:00</t>
  </si>
  <si>
    <t xml:space="preserve">Assumptions!H37</t>
  </si>
  <si>
    <t xml:space="preserve">sha256:0fdd6b2e425bdb63eefcd4fc3c77e0031f638b1f9f578b25c2e3d11470612522</t>
  </si>
  <si>
    <t xml:space="preserve">2026-05-04T19:50:44.232189+00:00</t>
  </si>
  <si>
    <t xml:space="preserve">Assumptions!C38</t>
  </si>
  <si>
    <t xml:space="preserve">sha256:4942870d7312d707982f792e63180e31f72925b998dec46f7ce23db6f16e2d3b</t>
  </si>
  <si>
    <t xml:space="preserve">2026-05-04T19:50:44.232226+00:00</t>
  </si>
  <si>
    <t xml:space="preserve">Assumptions!C40</t>
  </si>
  <si>
    <t xml:space="preserve">sha256:a2d92b8efc0851380e35c5763a0a717ab5116895e146340d5c27e66b5b8c939a</t>
  </si>
  <si>
    <t xml:space="preserve">2026-05-04T19:50:44.232258+00:00</t>
  </si>
  <si>
    <t xml:space="preserve">Assumptions!C41</t>
  </si>
  <si>
    <t xml:space="preserve">2026-05-04T19:50:44.232295+00:00</t>
  </si>
  <si>
    <t xml:space="preserve">Assumptions!H41</t>
  </si>
  <si>
    <t xml:space="preserve">sha256:d4db3e4ce40782e8a0960e0f808d4fdb1550ee8f7336aba94a1df2863deeb099</t>
  </si>
  <si>
    <t xml:space="preserve">2026-05-04T19:50:44.232332+00:00</t>
  </si>
  <si>
    <t xml:space="preserve">Assumptions!C42</t>
  </si>
  <si>
    <t xml:space="preserve">sha256:624b60c58c9d8bfb6ff1886c2fd605d2adeb6ea4da576068201b6c6958ce93f4</t>
  </si>
  <si>
    <t xml:space="preserve">2026-05-04T19:50:44.232364+00:00</t>
  </si>
  <si>
    <t xml:space="preserve">Assumptions!H42</t>
  </si>
  <si>
    <t xml:space="preserve">sha256:8cf38392439e9f08c65eafacbe5bd929cdd185ca09f59da060a530d97c118f46</t>
  </si>
  <si>
    <t xml:space="preserve">2026-05-04T19:50:44.232395+00:00</t>
  </si>
  <si>
    <t xml:space="preserve">Assumptions!C43</t>
  </si>
  <si>
    <t xml:space="preserve">2026-05-04T19:50:44.232434+00:00</t>
  </si>
  <si>
    <t xml:space="preserve">Assumptions!H43</t>
  </si>
  <si>
    <t xml:space="preserve">sha256:ed8c4588198e4bc3c904eed8382514323abd0ef5856219a033c60afd71e0567b</t>
  </si>
  <si>
    <t xml:space="preserve">2026-05-04T19:50:44.232469+00:00</t>
  </si>
  <si>
    <t xml:space="preserve">Assumptions!H44</t>
  </si>
  <si>
    <t xml:space="preserve">sha256:3c7f5cd1c1beb6bbadbc1f35afb1986812041e98f3f20cbab8b822956eba391a</t>
  </si>
  <si>
    <t xml:space="preserve">2026-05-04T19:50:44.232504+00:00</t>
  </si>
  <si>
    <t xml:space="preserve">Assumptions!H45</t>
  </si>
  <si>
    <t xml:space="preserve">sha256:f6929b725e979eb6a9647a2cb8f409842c3a86bf309dbaedc88324aa833f7dfa</t>
  </si>
  <si>
    <t xml:space="preserve">2026-05-04T19:50:44.232535+00:00</t>
  </si>
  <si>
    <t xml:space="preserve">Assumptions!H46</t>
  </si>
  <si>
    <t xml:space="preserve">sha256:779674d761efd3d20cc83b9bd21794676f3a24fd95197e5c428dd2725f34972b</t>
  </si>
  <si>
    <t xml:space="preserve">2026-05-04T19:50:44.232564+00:00</t>
  </si>
  <si>
    <t xml:space="preserve">Assumptions!H47</t>
  </si>
  <si>
    <t xml:space="preserve">sha256:210bf8953b009572f88643445234fa0a04be9bce404f3c608e500107face6254</t>
  </si>
  <si>
    <t xml:space="preserve">2026-05-04T19:50:44.232598+00:00</t>
  </si>
  <si>
    <t xml:space="preserve">Assumptions!H48</t>
  </si>
  <si>
    <t xml:space="preserve">sha256:525bb45c9f7b74360934c6d1374e87e5b6dc241dc7040321a8fd1e924cd4989f</t>
  </si>
  <si>
    <t xml:space="preserve">2026-05-04T19:50:44.232633+00:00</t>
  </si>
  <si>
    <t xml:space="preserve">Assumptions!H49</t>
  </si>
  <si>
    <t xml:space="preserve">2026-05-04T19:50:44.232665+00:00</t>
  </si>
  <si>
    <t xml:space="preserve">Assumptions!C55</t>
  </si>
  <si>
    <t xml:space="preserve">2026-05-04T19:50:44.232701+00:00</t>
  </si>
  <si>
    <t xml:space="preserve">Assumptions!C56</t>
  </si>
  <si>
    <t xml:space="preserve">sha256:14be4b45f18e0d8c67b4f719b5144eee88497e413709d11d85b096d8e2346310</t>
  </si>
  <si>
    <t xml:space="preserve">2026-05-04T19:50:44.232733+00:00</t>
  </si>
  <si>
    <t xml:space="preserve">Assumptions!C57</t>
  </si>
  <si>
    <t xml:space="preserve">2026-05-04T19:50:44.232773+00:00</t>
  </si>
  <si>
    <t xml:space="preserve">Assumptions!C74</t>
  </si>
  <si>
    <t xml:space="preserve">2026-05-04T19:50:44.232810+00:00</t>
  </si>
  <si>
    <t xml:space="preserve">Assumptions!C78</t>
  </si>
  <si>
    <t xml:space="preserve">sha256:36819111cffb9e1e90eb1fb7c0c29b56a1bc148d41478af66a3de0e5486bb688</t>
  </si>
  <si>
    <t xml:space="preserve">2026-05-04T19:50:44.232842+00:00</t>
  </si>
  <si>
    <t xml:space="preserve">Assumptions!C79</t>
  </si>
  <si>
    <t xml:space="preserve">sha256:4469f737b2dd804071928d213943ec492df9f8de7007c67001699a846cdccebb</t>
  </si>
  <si>
    <t xml:space="preserve">2026-05-04T19:50:44.232872+00:00</t>
  </si>
  <si>
    <t xml:space="preserve">Assumptions!C80</t>
  </si>
  <si>
    <t xml:space="preserve">sha256:44896b09365746b5f7167ee4d64988a38f7f4628803cbf86224e74eeb7c69e9d</t>
  </si>
  <si>
    <t xml:space="preserve">2026-05-04T19:50:44.232909+00:00</t>
  </si>
  <si>
    <t xml:space="preserve">Assumptions!C81</t>
  </si>
  <si>
    <t xml:space="preserve">sha256:e6743df815da2b68bf6347dc8821a62d7609faefe384eb3cb7b74782864870e3</t>
  </si>
  <si>
    <t xml:space="preserve">2026-05-04T19:50:44.232945+00:00</t>
  </si>
  <si>
    <t xml:space="preserve">Assumptions!C82</t>
  </si>
  <si>
    <t xml:space="preserve">sha256:221764976efe04132774d96b0253cc31434c5261737469324f222621baf34b20</t>
  </si>
  <si>
    <t xml:space="preserve">2026-05-04T19:50:44.232981+00:00</t>
  </si>
  <si>
    <t xml:space="preserve">Assumptions!C83</t>
  </si>
  <si>
    <t xml:space="preserve">sha256:f3e360d89952f40d3b79d0b07dd0b94f1cbf9017cba5d2a5f8128e4146d6e3c1</t>
  </si>
  <si>
    <t xml:space="preserve">2026-05-04T19:50:44.233013+00:00</t>
  </si>
  <si>
    <t xml:space="preserve">Pro Forma!C3</t>
  </si>
  <si>
    <t xml:space="preserve">2026-05-04T19:50:44.233045+00:00</t>
  </si>
  <si>
    <t xml:space="preserve">Pro Forma!C30</t>
  </si>
  <si>
    <t xml:space="preserve">2026-05-04T19:50:44.233083+00:00</t>
  </si>
  <si>
    <t xml:space="preserve">Pro Forma!C32</t>
  </si>
  <si>
    <t xml:space="preserve">2026-05-04T19:50:44.233120+00:00</t>
  </si>
  <si>
    <t xml:space="preserve">Pro Forma!C33</t>
  </si>
  <si>
    <t xml:space="preserve">2026-05-04T19:50:44.233153+00:00</t>
  </si>
  <si>
    <t xml:space="preserve">Pro Forma!C34</t>
  </si>
  <si>
    <t xml:space="preserve">2026-05-04T19:50:44.233190+00:00</t>
  </si>
  <si>
    <t xml:space="preserve">Pro Forma!C35</t>
  </si>
  <si>
    <t xml:space="preserve">2026-05-04T19:50:44.233222+00:00</t>
  </si>
  <si>
    <t xml:space="preserve">Pro Forma!C36</t>
  </si>
  <si>
    <t xml:space="preserve">2026-05-04T19:50:44.233252+00:00</t>
  </si>
  <si>
    <t xml:space="preserve">Pro Forma!C38</t>
  </si>
  <si>
    <t xml:space="preserve">2026-05-04T19:50:44.233293+00:00</t>
  </si>
  <si>
    <t xml:space="preserve">Rent Comps!D9</t>
  </si>
  <si>
    <t xml:space="preserve">2026-05-04T19:50:44.233325+00:00</t>
  </si>
  <si>
    <t xml:space="preserve">Rent Comps!E9</t>
  </si>
  <si>
    <t xml:space="preserve">sha256:a3b9afe536de2b8b70c41e369961a7bbc1f7d656e3cdd8ffd309b916e1f90751</t>
  </si>
  <si>
    <t xml:space="preserve">2026-05-04T19:50:44.233357+00:00</t>
  </si>
  <si>
    <t xml:space="preserve">Rent Comps!F9</t>
  </si>
  <si>
    <t xml:space="preserve">sha256:533a26b6cb8cb2c7fa4bb5667e8318d1d75e69872537118cb92f950f4d8739e8</t>
  </si>
  <si>
    <t xml:space="preserve">2026-05-04T19:50:44.233393+00:00</t>
  </si>
  <si>
    <t xml:space="preserve">Rent Comps!G9</t>
  </si>
  <si>
    <t xml:space="preserve">sha256:b1188979876eef1d21d37d518c0805a03607abae10768863218cd66089c92e02</t>
  </si>
  <si>
    <t xml:space="preserve">2026-05-04T19:50:44.233426+00:00</t>
  </si>
  <si>
    <t xml:space="preserve">Rent Comps!H9</t>
  </si>
  <si>
    <t xml:space="preserve">sha256:6fc7a7dec4a0180f30ce78307da9ef72c0e752677f281dd54057c227e6045efd</t>
  </si>
  <si>
    <t xml:space="preserve">2026-05-04T19:50:44.233466+00:00</t>
  </si>
  <si>
    <t xml:space="preserve">Rent Comps!D10</t>
  </si>
  <si>
    <t xml:space="preserve">sha256:eb3be230bbd2844b1f5d8f2e4fab9ffba8ab22cfeeb69c4c1361993ba4f377b9</t>
  </si>
  <si>
    <t xml:space="preserve">comprehensive_input_inventory: small_number input cell, no preservation rule matched</t>
  </si>
  <si>
    <t xml:space="preserve">2026-05-04T19:50:44.233500+00:00</t>
  </si>
  <si>
    <t xml:space="preserve">Rent Comps!E10</t>
  </si>
  <si>
    <t xml:space="preserve">sha256:f10d91a7596bf5a6773579ff1306afdc363b0be08602c768907c09261cad3a56</t>
  </si>
  <si>
    <t xml:space="preserve">2026-05-04T19:50:44.233532+00:00</t>
  </si>
  <si>
    <t xml:space="preserve">Rent Comps!F10</t>
  </si>
  <si>
    <t xml:space="preserve">sha256:a0f8b2c4cb1ac82abdb37f0fe5203b97be556c4468c83bba18684d620fd8eaf9</t>
  </si>
  <si>
    <t xml:space="preserve">2026-05-04T19:50:44.233569+00:00</t>
  </si>
  <si>
    <t xml:space="preserve">Rent Comps!G10</t>
  </si>
  <si>
    <t xml:space="preserve">sha256:02cca3803b564ede11ccf9f303c9910b39c532061e7a8c3b773169bc3d3c140b</t>
  </si>
  <si>
    <t xml:space="preserve">2026-05-04T19:50:44.233600+00:00</t>
  </si>
  <si>
    <t xml:space="preserve">Rent Comps!H10</t>
  </si>
  <si>
    <t xml:space="preserve">sha256:5426d2ca50f244fb43fe9eafc82da08f33f3b4f8d9140802bd0102e780b629d6</t>
  </si>
  <si>
    <t xml:space="preserve">2026-05-04T19:50:44.233645+00:00</t>
  </si>
  <si>
    <t xml:space="preserve">Rent Comps!D14</t>
  </si>
  <si>
    <t xml:space="preserve">sha256:c0bfde62b169890693f8a776ba2577b9522c6d1aa9dd96c65f50042f1f018616</t>
  </si>
  <si>
    <t xml:space="preserve">comprehensive_input_inventory: medium_number input cell, no preservation rule matched</t>
  </si>
  <si>
    <t xml:space="preserve">2026-05-04T19:50:44.233682+00:00</t>
  </si>
  <si>
    <t xml:space="preserve">Rent Comps!E14</t>
  </si>
  <si>
    <t xml:space="preserve">sha256:a2258ffaf9a1490a7a7a01c282b1fe03224a2952b119c3f32b1de4739407cd58</t>
  </si>
  <si>
    <t xml:space="preserve">2026-05-04T19:50:44.233714+00:00</t>
  </si>
  <si>
    <t xml:space="preserve">Rent Comps!F14</t>
  </si>
  <si>
    <t xml:space="preserve">sha256:88b82308d570d71f02c5aa6a14ffe29a7ffbe14969a63094eb19e8e34256d9bf</t>
  </si>
  <si>
    <t xml:space="preserve">2026-05-04T19:50:44.233745+00:00</t>
  </si>
  <si>
    <t xml:space="preserve">Rent Comps!G14</t>
  </si>
  <si>
    <t xml:space="preserve">sha256:7880bd7fe5dcd28637eade8b95c42961c6c5acffa946a671aa0f01ce3a3479bc</t>
  </si>
  <si>
    <t xml:space="preserve">2026-05-04T19:50:44.233781+00:00</t>
  </si>
  <si>
    <t xml:space="preserve">Rent Comps!H14</t>
  </si>
  <si>
    <t xml:space="preserve">sha256:c27484c7087191b29f05f9c05efc20adeabbf7549f642629322532cb685ffb99</t>
  </si>
  <si>
    <t xml:space="preserve">2026-05-04T19:50:44.233817+00:00</t>
  </si>
  <si>
    <t xml:space="preserve">Rent Comps!D26</t>
  </si>
  <si>
    <t xml:space="preserve">sha256:3ec13115817a014a621e22b052993c86ed03ed69114f8413888f302d70e2d216</t>
  </si>
  <si>
    <t xml:space="preserve">2026-05-04T19:50:44.233849+00:00</t>
  </si>
  <si>
    <t xml:space="preserve">Rent Comps!E26</t>
  </si>
  <si>
    <t xml:space="preserve">sha256:757b6b66ed184438f5374c3be70402cfa8aaf963d679d0702ad3d37d75b3b68e</t>
  </si>
  <si>
    <t xml:space="preserve">2026-05-04T19:50:44.233885+00:00</t>
  </si>
  <si>
    <t xml:space="preserve">Rent Comps!F26</t>
  </si>
  <si>
    <t xml:space="preserve">sha256:1e797595727addd0e2663019e48d48a6f1dd555174ab126d482d40a5c752988b</t>
  </si>
  <si>
    <t xml:space="preserve">2026-05-04T19:50:44.233916+00:00</t>
  </si>
  <si>
    <t xml:space="preserve">Rent Comps!G26</t>
  </si>
  <si>
    <t xml:space="preserve">sha256:a9ffbdf317b2dabf198f59653da551149ad51173b2014ae1df5d183c2ddfcf26</t>
  </si>
  <si>
    <t xml:space="preserve">2026-05-04T19:50:44.233961+00:00</t>
  </si>
  <si>
    <t xml:space="preserve">Rent Comps!H26</t>
  </si>
  <si>
    <t xml:space="preserve">sha256:fea8344c6c192a73125b6b1469b96dd2944ec2e6206e0dbab867e910da7ace17</t>
  </si>
  <si>
    <t xml:space="preserve">2026-05-04T19:50:44.233998+00:00</t>
  </si>
  <si>
    <t xml:space="preserve">Rent Comps!D27</t>
  </si>
  <si>
    <t xml:space="preserve">sha256:5932cb6e58ef979208d6b91fcfe0d47c278d78451e733978d35f8b14db88c305</t>
  </si>
  <si>
    <t xml:space="preserve">2026-05-04T19:50:44.234030+00:00</t>
  </si>
  <si>
    <t xml:space="preserve">Rent Comps!E27</t>
  </si>
  <si>
    <t xml:space="preserve">sha256:65956c853f2004feac38894fe8ed6a047126f326cb8312e56acb9839633c296b</t>
  </si>
  <si>
    <t xml:space="preserve">2026-05-04T19:50:44.234065+00:00</t>
  </si>
  <si>
    <t xml:space="preserve">Rent Comps!F27</t>
  </si>
  <si>
    <t xml:space="preserve">sha256:97b3e84b5db5f23c51da10dba4f967a0723da721fc136aa00ca43da3ad5e3a6d</t>
  </si>
  <si>
    <t xml:space="preserve">2026-05-04T19:50:44.234097+00:00</t>
  </si>
  <si>
    <t xml:space="preserve">Rent Comps!G27</t>
  </si>
  <si>
    <t xml:space="preserve">sha256:6a551776eeaddabe5d552ea403fabaaa81825f6f05d7d945439ccd4e7dc09029</t>
  </si>
  <si>
    <t xml:space="preserve">2026-05-04T19:50:44.234128+00:00</t>
  </si>
  <si>
    <t xml:space="preserve">Rent Comps!H27</t>
  </si>
  <si>
    <t xml:space="preserve">sha256:952795a1f797b5c993ffc5d074b143eae036a499995e63f3dbd56ebba4e4ed9d</t>
  </si>
  <si>
    <t xml:space="preserve">2026-05-04T19:50:44.234166+00:00</t>
  </si>
  <si>
    <t xml:space="preserve">Rent Comps!D34</t>
  </si>
  <si>
    <t xml:space="preserve">sha256:885056be2e0fcf188bece14e6370008b1a3bc0aedc9778a0c52fc850ceb1ff97</t>
  </si>
  <si>
    <t xml:space="preserve">2026-05-04T19:50:44.234199+00:00</t>
  </si>
  <si>
    <t xml:space="preserve">Rent Comps!E34</t>
  </si>
  <si>
    <t xml:space="preserve">sha256:0003dc8ba4e379d078ccc278b8c13ca665b2440770df16f54511bf7609203239</t>
  </si>
  <si>
    <t xml:space="preserve">2026-05-04T19:50:44.234230+00:00</t>
  </si>
  <si>
    <t xml:space="preserve">Rent Comps!F34</t>
  </si>
  <si>
    <t xml:space="preserve">sha256:d2609b654449b7145bbddef2f4826d78422514a71422695a388b0e15cf01d5e8</t>
  </si>
  <si>
    <t xml:space="preserve">2026-05-04T19:50:44.234267+00:00</t>
  </si>
  <si>
    <t xml:space="preserve">Rent Comps!G34</t>
  </si>
  <si>
    <t xml:space="preserve">sha256:ef6d0ffb140edc236359cd0ae485cdcf6118f9f3f14c0754c9e0738ed7206272</t>
  </si>
  <si>
    <t xml:space="preserve">2026-05-04T19:50:44.234300+00:00</t>
  </si>
  <si>
    <t xml:space="preserve">Rent Comps!H34</t>
  </si>
  <si>
    <t xml:space="preserve">sha256:fc803c48b002825e317b319196b312691a7f802a4b06bf19ba0de489560756c0</t>
  </si>
  <si>
    <t xml:space="preserve">2026-05-04T19:50:44.234340+00:00</t>
  </si>
  <si>
    <t xml:space="preserve">Sales Comps!D9</t>
  </si>
  <si>
    <t xml:space="preserve">sha256:6d4c0e0282146163299d70f3f8f0ce159da9a1bcd72f223848d88b057f8e4fe2</t>
  </si>
  <si>
    <t xml:space="preserve">2026-05-04T19:50:44.234373+00:00</t>
  </si>
  <si>
    <t xml:space="preserve">Sales Comps!E9</t>
  </si>
  <si>
    <t xml:space="preserve">sha256:59620c4caf83723e677cc3fbcfd402b6c5b4d17bd8dda6dca1a38e2b7a37646d</t>
  </si>
  <si>
    <t xml:space="preserve">2026-05-04T19:50:44.234405+00:00</t>
  </si>
  <si>
    <t xml:space="preserve">Sales Comps!F9</t>
  </si>
  <si>
    <t xml:space="preserve">sha256:63efe83214fc85bbc6dec14e37e5f0b2df80522d09336c7b1955f3d7a0ae985d</t>
  </si>
  <si>
    <t xml:space="preserve">2026-05-04T19:50:44.234445+00:00</t>
  </si>
  <si>
    <t xml:space="preserve">Sales Comps!G9</t>
  </si>
  <si>
    <t xml:space="preserve">sha256:74a773e127fbd64daeb88ddcd3a2df5cc55100aa50c6f888b7159f28496928c4</t>
  </si>
  <si>
    <t xml:space="preserve">2026-05-04T19:50:44.234476+00:00</t>
  </si>
  <si>
    <t xml:space="preserve">Sales Comps!H9</t>
  </si>
  <si>
    <t xml:space="preserve">sha256:78a874be4475ef4fee11e0cae8fc08ad1d0c0626446bc677a3a986be8890b9d7</t>
  </si>
  <si>
    <t xml:space="preserve">2026-05-04T19:50:44.234513+00:00</t>
  </si>
  <si>
    <t xml:space="preserve">Sales Comps!I9</t>
  </si>
  <si>
    <t xml:space="preserve">sha256:c63c003345e87abc48ff29c2f2c972ebc69ac5e9fd3793b15d39f9f9889f709e</t>
  </si>
  <si>
    <t xml:space="preserve">2026-05-04T19:50:44.234549+00:00</t>
  </si>
  <si>
    <t xml:space="preserve">Sales Comps!D10</t>
  </si>
  <si>
    <t xml:space="preserve">sha256:802b906a18591ead8a6dd809b262ace4c65c16e89764c40ae326cfcff811e10c</t>
  </si>
  <si>
    <t xml:space="preserve">2026-05-04T19:50:44.234582+00:00</t>
  </si>
  <si>
    <t xml:space="preserve">Sales Comps!E10</t>
  </si>
  <si>
    <t xml:space="preserve">sha256:4c8d5b6c695d265fb63dd73f275a21043a5887b37cb4fea0552ecc7b417c8f88</t>
  </si>
  <si>
    <t xml:space="preserve">2026-05-04T19:50:44.234614+00:00</t>
  </si>
  <si>
    <t xml:space="preserve">Sales Comps!F10</t>
  </si>
  <si>
    <t xml:space="preserve">sha256:48449a14a4ff7d79bb7a1b6f3d488eba397c36ef25634c111b49baf362511afc</t>
  </si>
  <si>
    <t xml:space="preserve">2026-05-04T19:50:44.234651+00:00</t>
  </si>
  <si>
    <t xml:space="preserve">Sales Comps!G10</t>
  </si>
  <si>
    <t xml:space="preserve">sha256:2452984f72ef1195df62ab3f23748777dbf39767229425f1bfd0862d476e5840</t>
  </si>
  <si>
    <t xml:space="preserve">2026-05-04T19:50:44.234689+00:00</t>
  </si>
  <si>
    <t xml:space="preserve">Sales Comps!H10</t>
  </si>
  <si>
    <t xml:space="preserve">sha256:a5abb1500bdeaef41e2edd598c015edfaa46793051b82d7da60a70efbf786da4</t>
  </si>
  <si>
    <t xml:space="preserve">2026-05-04T19:50:44.234721+00:00</t>
  </si>
  <si>
    <t xml:space="preserve">Sales Comps!I10</t>
  </si>
  <si>
    <t xml:space="preserve">sha256:d8d1790737d57ac4fe91a2c0a28087c0a97c81f5dc6b19d5e4aec20c08bb95ae</t>
  </si>
  <si>
    <t xml:space="preserve">2026-05-04T19:50:44.234757+00:00</t>
  </si>
  <si>
    <t xml:space="preserve">Sales Comps!D15</t>
  </si>
  <si>
    <t xml:space="preserve">sha256:d83422842f65123dcf7514dacdc823b2ce5276537bb738f0dff421ca05a340fe</t>
  </si>
  <si>
    <t xml:space="preserve">comprehensive_input_inventory: datetime input cell, no preservation rule matched</t>
  </si>
  <si>
    <t xml:space="preserve">2026-05-04T19:50:44.234791+00:00</t>
  </si>
  <si>
    <t xml:space="preserve">Sales Comps!E15</t>
  </si>
  <si>
    <t xml:space="preserve">2026-05-04T19:50:44.234832+00:00</t>
  </si>
  <si>
    <t xml:space="preserve">Sales Comps!F15</t>
  </si>
  <si>
    <t xml:space="preserve">sha256:dcb705093d288dc0d0e8060e29b9fcf12f7974506733e31e185abe8c9293c8af</t>
  </si>
  <si>
    <t xml:space="preserve">2026-05-04T19:50:44.234865+00:00</t>
  </si>
  <si>
    <t xml:space="preserve">Sales Comps!G15</t>
  </si>
  <si>
    <t xml:space="preserve">sha256:424a5582b467d1093fbac35458310caade3290175a2f0a269ec77d9b4a8edb7f</t>
  </si>
  <si>
    <t xml:space="preserve">2026-05-04T19:50:44.234897+00:00</t>
  </si>
  <si>
    <t xml:space="preserve">Sales Comps!H15</t>
  </si>
  <si>
    <t xml:space="preserve">sha256:d7f47b7b2f6c95f589aab810eb21c6e96c18f0957741cd0a700201c083dd876d</t>
  </si>
  <si>
    <t xml:space="preserve">2026-05-04T19:50:44.235010+00:00</t>
  </si>
  <si>
    <t xml:space="preserve">Sales Comps!I15</t>
  </si>
  <si>
    <t xml:space="preserve">sha256:a8ed9d9dfc8525d3c9f20c0541bb88bc4bb29d7c39007a3783c58ffaf00a1da8</t>
  </si>
  <si>
    <t xml:space="preserve">2026-05-04T19:50:44.235042+00:00</t>
  </si>
  <si>
    <t xml:space="preserve">Sales Comps!D16</t>
  </si>
  <si>
    <t xml:space="preserve">sha256:7fc915579165b79db6567ec7741068c435b09e330c38cd7220f6d45e696281e1</t>
  </si>
  <si>
    <t xml:space="preserve">comprehensive_input_inventory: large_number input cell, no preservation rule matched</t>
  </si>
  <si>
    <t xml:space="preserve">2026-05-04T19:50:44.235078+00:00</t>
  </si>
  <si>
    <t xml:space="preserve">Sales Comps!E16</t>
  </si>
  <si>
    <t xml:space="preserve">sha256:68c8917b4753b3911b5f2e9af6ea24f37db39e352ae04fb992b4faa946ddd0c1</t>
  </si>
  <si>
    <t xml:space="preserve">2026-05-04T19:50:44.235114+00:00</t>
  </si>
  <si>
    <t xml:space="preserve">Sales Comps!F16</t>
  </si>
  <si>
    <t xml:space="preserve">sha256:9c8c0b40beda1c7de40e7ab0fa9d70b85712099e921f1dedece2eb3581906f43</t>
  </si>
  <si>
    <t xml:space="preserve">2026-05-04T19:50:44.235145+00:00</t>
  </si>
  <si>
    <t xml:space="preserve">Sales Comps!G16</t>
  </si>
  <si>
    <t xml:space="preserve">sha256:06c50f05b1f5963af80da59974908c10f5278d2f33fcf77e8d3eb5c911f82151</t>
  </si>
  <si>
    <t xml:space="preserve">2026-05-04T19:50:44.235176+00:00</t>
  </si>
  <si>
    <t xml:space="preserve">Sales Comps!H16</t>
  </si>
  <si>
    <t xml:space="preserve">sha256:58a954e418c7e14ad7569e944647970125712df704df2a427bf3ae50854ff37d</t>
  </si>
  <si>
    <t xml:space="preserve">2026-05-04T19:50:44.235213+00:00</t>
  </si>
  <si>
    <t xml:space="preserve">Sales Comps!I16</t>
  </si>
  <si>
    <t xml:space="preserve">sha256:7661a016d2cd2b4b6477ed0cf4d028f3bab61b1043e4c5102f2f897fd81a593f</t>
  </si>
  <si>
    <t xml:space="preserve">2026-05-04T19:50:44.235249+00:00</t>
  </si>
  <si>
    <t xml:space="preserve">Sales Comps!D24</t>
  </si>
  <si>
    <t xml:space="preserve">sha256:a888fe9e2469182b8e3e3bca241d3189dc144349bc2d0ac64c56c444276e9763</t>
  </si>
  <si>
    <t xml:space="preserve">2026-05-04T19:50:44.235282+00:00</t>
  </si>
  <si>
    <t xml:space="preserve">Sales Comps!E24</t>
  </si>
  <si>
    <t xml:space="preserve">2026-05-04T19:50:44.235319+00:00</t>
  </si>
  <si>
    <t xml:space="preserve">Sales Comps!F24</t>
  </si>
  <si>
    <t xml:space="preserve">sha256:c945fbec264791e3d9a0d8ee5595e2a8627b1ea189302445232c97bfce50a3fc</t>
  </si>
  <si>
    <t xml:space="preserve">2026-05-04T19:50:44.235351+00:00</t>
  </si>
  <si>
    <t xml:space="preserve">Sales Comps!G24</t>
  </si>
  <si>
    <t xml:space="preserve">sha256:bb1a364b44db63819dccae493a7d0cf92a7015ead0d9a92e48c643320aa064ca</t>
  </si>
  <si>
    <t xml:space="preserve">2026-05-04T19:50:44.235387+00:00</t>
  </si>
  <si>
    <t xml:space="preserve">Sales Comps!H24</t>
  </si>
  <si>
    <t xml:space="preserve">sha256:375878499e83ada12843c974233da73ff8677f75b5dd179df322ec75cca64483</t>
  </si>
  <si>
    <t xml:space="preserve">2026-05-04T19:50:44.235424+00:00</t>
  </si>
  <si>
    <t xml:space="preserve">Sales Comps!I24</t>
  </si>
  <si>
    <t xml:space="preserve">sha256:a8a9d3a5a4d7f0e21d15a6339499b2d276ba7bcd078dc545bd883fee461573d6</t>
  </si>
  <si>
    <t xml:space="preserve">2026-05-04T19:50:44.235456+00:00</t>
  </si>
  <si>
    <t xml:space="preserve">Sales Comps!D25</t>
  </si>
  <si>
    <t xml:space="preserve">sha256:a39fff1990f5a397add4a9ad28477c9918bd1d4e870ac5e5e38824313fd182af</t>
  </si>
  <si>
    <t xml:space="preserve">2026-05-04T19:50:44.235493+00:00</t>
  </si>
  <si>
    <t xml:space="preserve">Sales Comps!E25</t>
  </si>
  <si>
    <t xml:space="preserve">2026-05-04T19:50:44.235524+00:00</t>
  </si>
  <si>
    <t xml:space="preserve">Sales Comps!F25</t>
  </si>
  <si>
    <t xml:space="preserve">sha256:ffe616e28103a848cc8a18531f5ba096e153b50c6d597297ad5cb69e39496f6a</t>
  </si>
  <si>
    <t xml:space="preserve">2026-05-04T19:50:44.235555+00:00</t>
  </si>
  <si>
    <t xml:space="preserve">Sales Comps!G25</t>
  </si>
  <si>
    <t xml:space="preserve">sha256:39ccca443af7e20a1f3ea8e70f3a51f88c0b4edfd9652f217ef31e4c097918e1</t>
  </si>
  <si>
    <t xml:space="preserve">2026-05-04T19:50:44.235594+00:00</t>
  </si>
  <si>
    <t xml:space="preserve">Sales Comps!H25</t>
  </si>
  <si>
    <t xml:space="preserve">2026-05-04T19:50:44.235625+00:00</t>
  </si>
  <si>
    <t xml:space="preserve">Sales Comps!I25</t>
  </si>
  <si>
    <t xml:space="preserve">sha256:0fdeae7203be18cb225033a68d0850cb53c9d8b8299faead2e12e941a008e5d7</t>
  </si>
  <si>
    <t xml:space="preserve">2026-05-04T19:50:44.235661+00:00</t>
  </si>
  <si>
    <t xml:space="preserve">Sales Comps!D26</t>
  </si>
  <si>
    <t xml:space="preserve">2026-05-04T19:50:44.235697+00:00</t>
  </si>
  <si>
    <t xml:space="preserve">Sales Comps!E26</t>
  </si>
  <si>
    <t xml:space="preserve">2026-05-04T19:50:44.235729+00:00</t>
  </si>
  <si>
    <t xml:space="preserve">Sales Comps!F26</t>
  </si>
  <si>
    <t xml:space="preserve">2026-05-04T19:50:44.235764+00:00</t>
  </si>
  <si>
    <t xml:space="preserve">Sales Comps!H26</t>
  </si>
  <si>
    <t xml:space="preserve">2026-05-04T19:50:44.235800+00:00</t>
  </si>
  <si>
    <t xml:space="preserve">Sales Comps!I26</t>
  </si>
  <si>
    <t xml:space="preserve">2026-05-04T19:50:44.235832+00:00</t>
  </si>
  <si>
    <t xml:space="preserve">Sales Comps!D27</t>
  </si>
  <si>
    <t xml:space="preserve">2026-05-04T19:50:44.235867+00:00</t>
  </si>
  <si>
    <t xml:space="preserve">Sales Comps!E27</t>
  </si>
  <si>
    <t xml:space="preserve">sha256:bc2375185cb38cc7dc2f4efaa35fc2099d1e6e5cadf976802388dd9df71cb8e3</t>
  </si>
  <si>
    <t xml:space="preserve">2026-05-04T19:50:44.235899+00:00</t>
  </si>
  <si>
    <t xml:space="preserve">Sales Comps!G27</t>
  </si>
  <si>
    <t xml:space="preserve">2026-05-04T19:50:44.235933+00:00</t>
  </si>
  <si>
    <t xml:space="preserve">Sales Comps!H27</t>
  </si>
  <si>
    <t xml:space="preserve">2026-05-04T19:50:44.235968+00:00</t>
  </si>
  <si>
    <t xml:space="preserve">Sales Comps!D28</t>
  </si>
  <si>
    <t xml:space="preserve">sha256:009429071a228d963d98ee97bc6bdaf3f9c493b6e0c05220bbdb1720c1489262</t>
  </si>
  <si>
    <t xml:space="preserve">2026-05-04T19:50:44.236001+00:00</t>
  </si>
  <si>
    <t xml:space="preserve">Sales Comps!E28</t>
  </si>
  <si>
    <t xml:space="preserve">sha256:d78c6e23c521841503e1367d063d3b4a7b2814276890c6c82772ff6daf34d1c2</t>
  </si>
  <si>
    <t xml:space="preserve">2026-05-04T19:50:44.236033+00:00</t>
  </si>
  <si>
    <t xml:space="preserve">Sales Comps!F28</t>
  </si>
  <si>
    <t xml:space="preserve">sha256:eb71a7e914e0927194ec80fcf46b7f83af3ff13dca2a1fe68c2eab22a0dd061d</t>
  </si>
  <si>
    <t xml:space="preserve">2026-05-04T19:50:44.236070+00:00</t>
  </si>
  <si>
    <t xml:space="preserve">Sales Comps!G28</t>
  </si>
  <si>
    <t xml:space="preserve">sha256:0fd3e09fe22ca6b7d2092bcda4ede452425261d01d07c0bbdae4d30e260cfdea</t>
  </si>
  <si>
    <t xml:space="preserve">2026-05-04T19:50:44.236108+00:00</t>
  </si>
  <si>
    <t xml:space="preserve">Sales Comps!H28</t>
  </si>
  <si>
    <t xml:space="preserve">sha256:a2a4793ef7b3431dbecc504797e76178f86fea67b0e03d755ab354ac9fab57da</t>
  </si>
  <si>
    <t xml:space="preserve">2026-05-04T19:50:44.236140+00:00</t>
  </si>
  <si>
    <t xml:space="preserve">Sales Comps!I28</t>
  </si>
  <si>
    <t xml:space="preserve">sha256:ecc6a9061033ac7adfb249be91d8e097784940decbcb25e4bdc4dc840681b66b</t>
  </si>
  <si>
    <t xml:space="preserve">2026-05-04T19:50:44.236175+00:00</t>
  </si>
  <si>
    <t xml:space="preserve">Sales Comps!D30</t>
  </si>
  <si>
    <t xml:space="preserve">sha256:c93110febcea19c2433127789634e13bb24714c2aa063671d1e0b8587b75d242</t>
  </si>
  <si>
    <t xml:space="preserve">2026-05-04T19:50:44.236207+00:00</t>
  </si>
  <si>
    <t xml:space="preserve">Sales Comps!E30</t>
  </si>
  <si>
    <t xml:space="preserve">2026-05-04T19:50:44.236243+00:00</t>
  </si>
  <si>
    <t xml:space="preserve">Sales Comps!F30</t>
  </si>
  <si>
    <t xml:space="preserve">2026-05-04T19:50:44.236279+00:00</t>
  </si>
  <si>
    <t xml:space="preserve">Sales Comps!G30</t>
  </si>
  <si>
    <t xml:space="preserve">2026-05-04T19:50:44.236310+00:00</t>
  </si>
  <si>
    <t xml:space="preserve">Sales Comps!H30</t>
  </si>
  <si>
    <t xml:space="preserve">2026-05-04T19:50:44.236345+00:00</t>
  </si>
  <si>
    <t xml:space="preserve">Sales Comps!I30</t>
  </si>
  <si>
    <t xml:space="preserve">sha256:e0818079b8c58913389d9148daacbb3639e0fa3968ba91ad7445229313e4ce7d</t>
  </si>
  <si>
    <t xml:space="preserve">2026-05-04T19:50:44.236376+00:00</t>
  </si>
  <si>
    <t xml:space="preserve">Debt Schedule!C2</t>
  </si>
  <si>
    <t xml:space="preserve">sha256:6b86b273ff34fce19d6b804eff5a3f5747ada4eaa22f1d49c01e52ddb7875b4b</t>
  </si>
  <si>
    <t xml:space="preserve">2026-05-04T19:50:44.236408+00:00</t>
  </si>
  <si>
    <t xml:space="preserve">Returns Summary!C2</t>
  </si>
  <si>
    <t xml:space="preserve">2026-05-04T19:50:44.236447+00:00</t>
  </si>
  <si>
    <t xml:space="preserve">Returns Summary!C30</t>
  </si>
  <si>
    <t xml:space="preserve">2026-05-04T19:50:44.236480+00:00</t>
  </si>
  <si>
    <t xml:space="preserve">Returns Summary!C31</t>
  </si>
  <si>
    <t xml:space="preserve">2026-05-04T19:50:44.236511+00:00</t>
  </si>
  <si>
    <t xml:space="preserve">Returns Summary!C36</t>
  </si>
  <si>
    <t xml:space="preserve">2026-05-04T19:50:44.236547+00:00</t>
  </si>
  <si>
    <t xml:space="preserve">Returns Summary!C37</t>
  </si>
  <si>
    <t xml:space="preserve">2026-05-04T19:50:44.236578+00:00</t>
  </si>
  <si>
    <t xml:space="preserve">Waterfall!C3</t>
  </si>
  <si>
    <t xml:space="preserve">2026-05-04T19:50:44.236617+00:00</t>
  </si>
  <si>
    <t xml:space="preserve">user_required</t>
  </si>
  <si>
    <t xml:space="preserve">Year-by-year override value: deal-specific rate, not a reusable default</t>
  </si>
  <si>
    <t xml:space="preserve">2026-05-04T19:50:44.236649+00:00</t>
  </si>
  <si>
    <t xml:space="preserve">2026-05-04T19:50:44.236677+00:00</t>
  </si>
  <si>
    <t xml:space="preserve">2026-05-04T19:50:44.236704+00:00</t>
  </si>
  <si>
    <t xml:space="preserve">2026-05-04T19:50:44.236735+00:00</t>
  </si>
  <si>
    <t xml:space="preserve">2026-05-04T19:50:44.236763+00:00</t>
  </si>
  <si>
    <t xml:space="preserve">2026-05-04T19:50:44.236795+00:00</t>
  </si>
  <si>
    <t xml:space="preserve">2026-05-04T19:50:44.236827+00:00</t>
  </si>
  <si>
    <t xml:space="preserve">2026-05-04T19:50:44.236854+00:00</t>
  </si>
  <si>
    <t xml:space="preserve">2026-05-04T19:50:44.236881+00:00</t>
  </si>
  <si>
    <t xml:space="preserve">2026-05-04T19:50:44.236912+00:00</t>
  </si>
  <si>
    <t xml:space="preserve">2026-05-04T19:50:44.236943+00:00</t>
  </si>
  <si>
    <t xml:space="preserve">2026-05-04T19:50:44.236970+00:00</t>
  </si>
  <si>
    <t xml:space="preserve">2026-05-04T19:50:44.237001+00:00</t>
  </si>
  <si>
    <t xml:space="preserve">2026-05-04T19:50:44.237028+00:00</t>
  </si>
  <si>
    <t xml:space="preserve">2026-05-04T19:50:44.237055+00:00</t>
  </si>
  <si>
    <t xml:space="preserve">2026-05-04T19:50:44.237090+00:00</t>
  </si>
  <si>
    <t xml:space="preserve">2026-05-04T19:50:44.237116+00:00</t>
  </si>
  <si>
    <t xml:space="preserve">2026-05-04T19:50:44.237142+00:00</t>
  </si>
  <si>
    <t xml:space="preserve">2026-05-04T19:50:44.237173+00:00</t>
  </si>
  <si>
    <t xml:space="preserve">2026-05-04T19:50:44.237199+00:00</t>
  </si>
  <si>
    <t xml:space="preserve">2026-05-04T19:50:44.237229+00:00</t>
  </si>
  <si>
    <t xml:space="preserve">2026-05-04T19:50:44.237260+00:00</t>
  </si>
  <si>
    <t xml:space="preserve">2026-05-04T19:50:44.237292+00:00</t>
  </si>
  <si>
    <t xml:space="preserve">2026-05-04T19:50:44.237319+00:00</t>
  </si>
  <si>
    <t xml:space="preserve">2026-05-04T19:50:44.237353+00:00</t>
  </si>
  <si>
    <t xml:space="preserve">2026-05-04T19:50:44.237380+00:00</t>
  </si>
  <si>
    <t xml:space="preserve">2026-05-04T19:50:44.237407+00:00</t>
  </si>
  <si>
    <t xml:space="preserve">2026-05-04T19:50:44.237438+00:00</t>
  </si>
  <si>
    <t xml:space="preserve">2026-05-04T19:50:44.237464+00:00</t>
  </si>
  <si>
    <t xml:space="preserve">2026-05-04T19:50:44.237491+00:00</t>
  </si>
  <si>
    <t xml:space="preserve">2026-05-04T19:50:44.237524+00:00</t>
  </si>
  <si>
    <t xml:space="preserve">2026-05-04T19:50:44.237551+00:00</t>
  </si>
  <si>
    <t xml:space="preserve">2026-05-04T19:50:44.237578+00:00</t>
  </si>
  <si>
    <t xml:space="preserve">2026-05-04T19:50:44.237609+00:00</t>
  </si>
  <si>
    <t xml:space="preserve">2026-05-04T19:50:44.237644+00:00</t>
  </si>
  <si>
    <t xml:space="preserve">2026-05-04T19:50:44.237751+00:00</t>
  </si>
  <si>
    <t xml:space="preserve">Assumptions!H22</t>
  </si>
  <si>
    <t xml:space="preserve">sha256:85ac1e5351cdc976f7f98e16548f62ea663bb2c054c47262b44980e9d96eed18</t>
  </si>
  <si>
    <t xml:space="preserve">Toggle 'Use Staged Inputs' set to Yes for prior deal; deal-specific, user must set per deal</t>
  </si>
  <si>
    <t xml:space="preserve">2026-05-04T19:50:44.237789+00:00</t>
  </si>
  <si>
    <t xml:space="preserve">Assumptions!C5</t>
  </si>
  <si>
    <t xml:space="preserve">sha256:5026288fae6f2aa1c580f3b6b9ba42bffe5af8692f7780ff8058a7f407acf4e6</t>
  </si>
  <si>
    <t xml:space="preserve">datamart_preferred_user_fallback</t>
  </si>
  <si>
    <t xml:space="preserve">Property Name — deal-specific</t>
  </si>
  <si>
    <t xml:space="preserve">2026-05-04T19:50:44.237821+00:00</t>
  </si>
  <si>
    <t xml:space="preserve">Assumptions!C6</t>
  </si>
  <si>
    <t xml:space="preserve">sha256:e199207dd7f497b7d51241a7dc000dee5721f02573833040c287bed868367d78</t>
  </si>
  <si>
    <t xml:space="preserve">Address — deal-specific</t>
  </si>
  <si>
    <t xml:space="preserve">2026-05-04T19:50:44.237867+00:00</t>
  </si>
  <si>
    <t xml:space="preserve">Assumptions!C7</t>
  </si>
  <si>
    <t xml:space="preserve">sha256:0ceab5ef59c5450153faf2e95d41599c3165647699295bd21c60613ecfa77761</t>
  </si>
  <si>
    <t xml:space="preserve">City State Zip — deal-specific</t>
  </si>
  <si>
    <t xml:space="preserve">2026-05-04T19:50:44.237903+00:00</t>
  </si>
  <si>
    <t xml:space="preserve">Assumptions!C8</t>
  </si>
  <si>
    <t xml:space="preserve">sha256:470b25646904bd9bdbd11287782164f41c1309bab90c5821b4611fa3c656c23a</t>
  </si>
  <si>
    <t xml:space="preserve">Property Type — deal-specific</t>
  </si>
  <si>
    <t xml:space="preserve">2026-05-19T16:28:17.258076</t>
  </si>
  <si>
    <t xml:space="preserve">Sales Comps!D6</t>
  </si>
  <si>
    <t xml:space="preserve">sha256:23d6a441e591a47abbd81dab1e307d4902b0f519a70a060ec06fc3ae8a6f28d9</t>
  </si>
  <si>
    <t xml:space="preserve">Phase2B</t>
  </si>
  <si>
    <t xml:space="preserve">prior_deal_data</t>
  </si>
  <si>
    <t xml:space="preserve">prior_deal_comp_property_name</t>
  </si>
  <si>
    <t xml:space="preserve">2026-05-19T16:28:17.258575</t>
  </si>
  <si>
    <t xml:space="preserve">Sales Comps!D8</t>
  </si>
  <si>
    <t xml:space="preserve">sha256:8ba21b1e5c7c4a41dd29a3e1fdf91aeb64425ff18621293220c26daca95f529c</t>
  </si>
  <si>
    <t xml:space="preserve">prior_deal_comp_city_state</t>
  </si>
  <si>
    <t xml:space="preserve">2026-05-19T16:28:17.258607</t>
  </si>
  <si>
    <t xml:space="preserve">Sales Comps!D11</t>
  </si>
  <si>
    <t xml:space="preserve">prior_deal_comp_data</t>
  </si>
  <si>
    <t xml:space="preserve">2026-05-19T16:28:17.258619</t>
  </si>
  <si>
    <t xml:space="preserve">Sales Comps!D12</t>
  </si>
  <si>
    <t xml:space="preserve">2026-05-19T16:28:17.258640</t>
  </si>
  <si>
    <t xml:space="preserve">Sales Comps!E6</t>
  </si>
  <si>
    <t xml:space="preserve">sha256:b0afbd642db9f16ac2cb7f45890bac9b5ced65c2c33c217f3276307c458da8c6</t>
  </si>
  <si>
    <t xml:space="preserve">2026-05-19T16:28:17.258650</t>
  </si>
  <si>
    <t xml:space="preserve">Sales Comps!E8</t>
  </si>
  <si>
    <t xml:space="preserve">2026-05-19T16:28:17.258661</t>
  </si>
  <si>
    <t xml:space="preserve">Sales Comps!E11</t>
  </si>
  <si>
    <t xml:space="preserve">2026-05-19T16:28:17.258670</t>
  </si>
  <si>
    <t xml:space="preserve">Sales Comps!E12</t>
  </si>
  <si>
    <t xml:space="preserve">2026-05-19T16:28:17.258686</t>
  </si>
  <si>
    <t xml:space="preserve">Sales Comps!F6</t>
  </si>
  <si>
    <t xml:space="preserve">sha256:4bb2cb2259ad0575797730d88112daf4b4a285cff564dc9e4ec2e19b6525001f</t>
  </si>
  <si>
    <t xml:space="preserve">2026-05-19T16:28:17.258695</t>
  </si>
  <si>
    <t xml:space="preserve">Sales Comps!F8</t>
  </si>
  <si>
    <t xml:space="preserve">2026-05-19T16:28:17.258706</t>
  </si>
  <si>
    <t xml:space="preserve">Sales Comps!F11</t>
  </si>
  <si>
    <t xml:space="preserve">2026-05-19T16:28:17.258715</t>
  </si>
  <si>
    <t xml:space="preserve">Sales Comps!F12</t>
  </si>
  <si>
    <t xml:space="preserve">2026-05-19T16:28:17.258729</t>
  </si>
  <si>
    <t xml:space="preserve">Sales Comps!G6</t>
  </si>
  <si>
    <t xml:space="preserve">sha256:a9c57ea984848dac1795117e35a6843c727558a29b1eda25f12b69c885d166cb</t>
  </si>
  <si>
    <t xml:space="preserve">2026-05-19T16:28:17.258738</t>
  </si>
  <si>
    <t xml:space="preserve">Sales Comps!G8</t>
  </si>
  <si>
    <t xml:space="preserve">2026-05-19T16:28:17.258749</t>
  </si>
  <si>
    <t xml:space="preserve">Sales Comps!G11</t>
  </si>
  <si>
    <t xml:space="preserve">2026-05-19T16:28:17.258758</t>
  </si>
  <si>
    <t xml:space="preserve">Sales Comps!G12</t>
  </si>
  <si>
    <t xml:space="preserve">2026-05-19T16:28:17.258771</t>
  </si>
  <si>
    <t xml:space="preserve">Sales Comps!H6</t>
  </si>
  <si>
    <t xml:space="preserve">sha256:f21abc13795df062158ff018ac22873cba6e26e4931e6b76468965cf579aed00</t>
  </si>
  <si>
    <t xml:space="preserve">2026-05-19T16:28:17.258780</t>
  </si>
  <si>
    <t xml:space="preserve">Sales Comps!H8</t>
  </si>
  <si>
    <t xml:space="preserve">2026-05-19T16:28:17.258790</t>
  </si>
  <si>
    <t xml:space="preserve">Sales Comps!H11</t>
  </si>
  <si>
    <t xml:space="preserve">2026-05-19T16:28:17.258799</t>
  </si>
  <si>
    <t xml:space="preserve">Sales Comps!H12</t>
  </si>
  <si>
    <t xml:space="preserve">2026-05-19T16:28:17.258812</t>
  </si>
  <si>
    <t xml:space="preserve">Sales Comps!I6</t>
  </si>
  <si>
    <t xml:space="preserve">sha256:2175ce00e154c65a46261eafebb62731b8c953a06134e89f8bf33aca023a0e07</t>
  </si>
  <si>
    <t xml:space="preserve">2026-05-19T16:28:17.258820</t>
  </si>
  <si>
    <t xml:space="preserve">Sales Comps!I8</t>
  </si>
  <si>
    <t xml:space="preserve">2026-05-19T16:28:17.258831</t>
  </si>
  <si>
    <t xml:space="preserve">Sales Comps!I11</t>
  </si>
  <si>
    <t xml:space="preserve">2026-05-19T16:28:17.258839</t>
  </si>
  <si>
    <t xml:space="preserve">Sales Comps!I12</t>
  </si>
  <si>
    <t xml:space="preserve">2026-05-19T16:28:17.258905</t>
  </si>
  <si>
    <t xml:space="preserve">Rent Comps!D6</t>
  </si>
  <si>
    <t xml:space="preserve">sha256:e54b74eb9192b48055c48d2062bffdd23469ef7d70f960ff1293a47f86c8eba2</t>
  </si>
  <si>
    <t xml:space="preserve">2026-05-19T16:28:17.258949</t>
  </si>
  <si>
    <t xml:space="preserve">Rent Comps!E6</t>
  </si>
  <si>
    <t xml:space="preserve">2026-05-19T16:28:17.258991</t>
  </si>
  <si>
    <t xml:space="preserve">Rent Comps!F6</t>
  </si>
  <si>
    <t xml:space="preserve">2026-05-19T16:28:17.259031</t>
  </si>
  <si>
    <t xml:space="preserve">Rent Comps!G6</t>
  </si>
  <si>
    <t xml:space="preserve">2026-05-19T16:28:17.259071</t>
  </si>
  <si>
    <t xml:space="preserve">Rent Comps!H6</t>
  </si>
  <si>
    <t xml:space="preserve">2026-05-19T16:28:17.259287</t>
  </si>
  <si>
    <t xml:space="preserve">Assumptions!C72</t>
  </si>
  <si>
    <t xml:space="preserve">sha256:1ea442a134b2a184bd5d40104401f2a37fbc09ccf3f4bc9da161c6099be3691d</t>
  </si>
  <si>
    <t xml:space="preserve">deal_specific_input_must_be_blank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</si>
</sst>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%"/>
    <numFmt numFmtId="166" formatCode="0.00\x"/>
    <numFmt numFmtId="167" formatCode="#,##0"/>
    <numFmt numFmtId="168" formatCode="0"/>
    <numFmt numFmtId="169" formatCode="\$#,##0;&quot;($&quot;#,##0\);\-"/>
    <numFmt numFmtId="170" formatCode="\$#,##0.00;&quot;($&quot;#,##0.00\);\-"/>
    <numFmt numFmtId="171" formatCode="@"/>
    <numFmt numFmtId="172" formatCode="General"/>
    <numFmt numFmtId="173" formatCode="0.0"/>
    <numFmt numFmtId="174" formatCode="yyyy\-mm\-dd;@"/>
    <numFmt numFmtId="175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Calibri"/>
      <family val="2"/>
      <charset val="1"/>
    </font>
    <font>
      <i val="true"/>
      <sz val="9"/>
      <color rgb="FF80808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00FF"/>
      <name val="Calibri"/>
      <family val="2"/>
      <charset val="1"/>
    </font>
    <font>
      <sz val="10"/>
      <color rgb="FF008000"/>
      <name val="Calibri"/>
      <family val="2"/>
      <charset val="1"/>
    </font>
    <font>
      <sz val="10"/>
      <color rgb="FF008F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i val="true"/>
      <sz val="10"/>
      <color rgb="FF000000"/>
      <name val="Calibri"/>
      <family val="2"/>
      <charset val="1"/>
    </font>
    <font>
      <i val="true"/>
      <sz val="10"/>
      <color rgb="FF008000"/>
      <name val="Calibri"/>
      <family val="2"/>
      <charset val="1"/>
    </font>
    <font>
      <b val="true"/>
      <sz val="10"/>
      <color rgb="FFFF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rgb="FF1F3864"/>
        <bgColor rgb="FF1E3864"/>
      </patternFill>
    </fill>
    <fill>
      <patternFill patternType="solid">
        <fgColor rgb="FFFFF2CC"/>
        <bgColor rgb="FFFCE4EC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CE4EC"/>
        <bgColor rgb="FFFFF2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3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F0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EC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864"/>
      <rgbColor rgb="FF339966"/>
      <rgbColor rgb="FF003300"/>
      <rgbColor rgb="FF333300"/>
      <rgbColor rgb="FF993300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3864"/>
    <pageSetUpPr fitToPage="true"/>
  </sheetPr>
  <dimension ref="B1:Q258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2" topLeftCell="A3" activePane="bottomLeft" state="frozen"/>
      <selection pane="topLeft" activeCell="A1" activeCellId="0" sqref="A1"/>
      <selection pane="bottomLeft" activeCell="B70" activeCellId="0" sqref="B70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.16"/>
    <col collapsed="false" customWidth="true" hidden="false" outlineLevel="0" max="3" min="3" style="1" width="18.34"/>
    <col collapsed="false" customWidth="true" hidden="false" outlineLevel="0" max="5" min="4" style="1" width="10.83"/>
    <col collapsed="false" customWidth="true" hidden="false" outlineLevel="0" max="6" min="6" style="1" width="4.83"/>
    <col collapsed="false" customWidth="true" hidden="false" outlineLevel="0" max="7" min="7" style="1" width="23.67"/>
    <col collapsed="false" customWidth="true" hidden="false" outlineLevel="0" max="11" min="8" style="1" width="18.16"/>
    <col collapsed="false" customWidth="true" hidden="false" outlineLevel="0" max="12" min="12" style="1" width="23.83"/>
    <col collapsed="false" customWidth="true" hidden="false" outlineLevel="0" max="17" min="13" style="1" width="18.16"/>
    <col collapsed="false" customWidth="true" hidden="false" outlineLevel="0" max="18" min="18" style="1" width="4.67"/>
    <col collapsed="false" customWidth="true" hidden="false" outlineLevel="0" max="27" min="19" style="1" width="16"/>
    <col collapsed="false" customWidth="false" hidden="false" outlineLevel="0" max="16384" min="28" style="1" width="8.67"/>
  </cols>
  <sheetData>
    <row r="1" customFormat="false" ht="15" hidden="false" customHeight="true" outlineLevel="0" collapsed="false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B2" s="3" t="s">
        <v>1</v>
      </c>
    </row>
    <row r="4" customFormat="false" ht="15" hidden="false" customHeight="true" outlineLevel="0" collapsed="false">
      <c r="B4" s="4" t="s">
        <v>2</v>
      </c>
      <c r="C4" s="5"/>
      <c r="D4" s="5"/>
      <c r="E4" s="6"/>
      <c r="G4" s="7" t="s">
        <v>3</v>
      </c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15" hidden="false" customHeight="true" outlineLevel="0" collapsed="false">
      <c r="B5" s="9" t="s">
        <v>4</v>
      </c>
      <c r="C5" s="10"/>
      <c r="G5" s="9" t="s">
        <v>5</v>
      </c>
      <c r="H5" s="11" t="n">
        <f aca="false">IF(C15=0,0,H52/C15)</f>
        <v>0</v>
      </c>
      <c r="I5" s="11"/>
    </row>
    <row r="6" customFormat="false" ht="15" hidden="false" customHeight="true" outlineLevel="0" collapsed="false">
      <c r="B6" s="9" t="s">
        <v>6</v>
      </c>
      <c r="C6" s="10"/>
      <c r="G6" s="9" t="s">
        <v>7</v>
      </c>
      <c r="H6" s="11" t="n">
        <f aca="false">IF(C15=0,0,'Pro Forma'!D$26/C15)</f>
        <v>0</v>
      </c>
      <c r="I6" s="11"/>
    </row>
    <row r="7" customFormat="false" ht="15" hidden="false" customHeight="true" outlineLevel="0" collapsed="false">
      <c r="B7" s="9" t="s">
        <v>8</v>
      </c>
      <c r="C7" s="10"/>
      <c r="G7" s="9" t="s">
        <v>9</v>
      </c>
      <c r="H7" s="11" t="n">
        <f aca="false">IF(C19=0,0,'Pro Forma'!D$26/C19)</f>
        <v>0</v>
      </c>
      <c r="I7" s="12"/>
    </row>
    <row r="8" customFormat="false" ht="15" hidden="false" customHeight="true" outlineLevel="0" collapsed="false">
      <c r="B8" s="9" t="s">
        <v>10</v>
      </c>
      <c r="C8" s="10"/>
      <c r="G8" s="9" t="s">
        <v>11</v>
      </c>
      <c r="H8" s="11" t="n">
        <f aca="false">'Returns Summary'!C$15</f>
        <v>0</v>
      </c>
      <c r="I8" s="11"/>
    </row>
    <row r="9" customFormat="false" ht="15" hidden="false" customHeight="true" outlineLevel="0" collapsed="false">
      <c r="B9" s="9" t="s">
        <v>12</v>
      </c>
      <c r="C9" s="13"/>
      <c r="G9" s="1" t="s">
        <v>13</v>
      </c>
      <c r="H9" s="11" t="n">
        <f aca="false">'Returns Summary'!C$21</f>
        <v>0</v>
      </c>
      <c r="I9" s="11"/>
    </row>
    <row r="10" customFormat="false" ht="15" hidden="false" customHeight="true" outlineLevel="0" collapsed="false">
      <c r="B10" s="9" t="s">
        <v>14</v>
      </c>
      <c r="C10" s="13"/>
      <c r="G10" s="1" t="s">
        <v>15</v>
      </c>
      <c r="H10" s="11" t="n">
        <f aca="false">'Returns Summary'!C$24</f>
        <v>0</v>
      </c>
      <c r="I10" s="11"/>
    </row>
    <row r="11" customFormat="false" ht="15" hidden="false" customHeight="true" outlineLevel="0" collapsed="false">
      <c r="B11" s="9" t="s">
        <v>16</v>
      </c>
      <c r="C11" s="14"/>
      <c r="G11" s="9" t="s">
        <v>17</v>
      </c>
      <c r="H11" s="15" t="n">
        <f aca="false">'Returns Summary'!C$22</f>
        <v>0</v>
      </c>
      <c r="I11" s="11"/>
    </row>
    <row r="12" customFormat="false" ht="15" hidden="false" customHeight="true" outlineLevel="0" collapsed="false">
      <c r="B12" s="9" t="s">
        <v>18</v>
      </c>
      <c r="C12" s="14"/>
    </row>
    <row r="13" customFormat="false" ht="15" hidden="false" customHeight="true" outlineLevel="0" collapsed="false"/>
    <row r="14" customFormat="false" ht="15" hidden="false" customHeight="true" outlineLevel="0" collapsed="false">
      <c r="B14" s="4" t="s">
        <v>19</v>
      </c>
      <c r="C14" s="5"/>
      <c r="D14" s="5"/>
      <c r="E14" s="6"/>
      <c r="G14" s="16" t="s">
        <v>20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</row>
    <row r="15" customFormat="false" ht="15" hidden="false" customHeight="true" outlineLevel="0" collapsed="false">
      <c r="B15" s="9" t="s">
        <v>21</v>
      </c>
      <c r="C15" s="18"/>
      <c r="G15" s="9" t="s">
        <v>22</v>
      </c>
      <c r="H15" s="14"/>
    </row>
    <row r="16" customFormat="false" ht="15" hidden="false" customHeight="true" outlineLevel="0" collapsed="false">
      <c r="B16" s="9" t="s">
        <v>23</v>
      </c>
      <c r="C16" s="19" t="n">
        <f aca="false">IFERROR(C15/C9,0)</f>
        <v>0</v>
      </c>
      <c r="G16" s="9" t="s">
        <v>24</v>
      </c>
      <c r="H16" s="20"/>
    </row>
    <row r="17" customFormat="false" ht="15" hidden="false" customHeight="true" outlineLevel="0" collapsed="false">
      <c r="B17" s="9" t="s">
        <v>25</v>
      </c>
      <c r="C17" s="21" t="n">
        <f aca="false">IFERROR(C15/C10,0)</f>
        <v>0</v>
      </c>
      <c r="G17" s="9" t="s">
        <v>26</v>
      </c>
      <c r="H17" s="20"/>
    </row>
    <row r="18" customFormat="false" ht="15" hidden="false" customHeight="true" outlineLevel="0" collapsed="false">
      <c r="B18" s="9" t="s">
        <v>27</v>
      </c>
      <c r="C18" s="20"/>
      <c r="G18" s="9" t="s">
        <v>28</v>
      </c>
      <c r="H18" s="20"/>
    </row>
    <row r="19" customFormat="false" ht="15" hidden="false" customHeight="true" outlineLevel="0" collapsed="false">
      <c r="B19" s="9" t="s">
        <v>29</v>
      </c>
      <c r="C19" s="19" t="n">
        <f aca="false">C15*(1+C18)+C26+C33</f>
        <v>0</v>
      </c>
      <c r="G19" s="9" t="s">
        <v>30</v>
      </c>
      <c r="H19" s="20"/>
    </row>
    <row r="20" customFormat="false" ht="15" hidden="false" customHeight="true" outlineLevel="0" collapsed="false"/>
    <row r="21" customFormat="false" ht="15" hidden="false" customHeight="true" outlineLevel="0" collapsed="false">
      <c r="B21" s="4" t="s">
        <v>31</v>
      </c>
      <c r="C21" s="5"/>
      <c r="D21" s="5"/>
      <c r="E21" s="6"/>
      <c r="G21" s="4" t="s">
        <v>32</v>
      </c>
      <c r="H21" s="5"/>
      <c r="I21" s="5"/>
      <c r="J21" s="5"/>
      <c r="K21" s="5"/>
      <c r="L21" s="5"/>
      <c r="M21" s="5"/>
      <c r="N21" s="5"/>
      <c r="O21" s="5"/>
      <c r="P21" s="5"/>
      <c r="Q21" s="6"/>
    </row>
    <row r="22" customFormat="false" ht="15" hidden="false" customHeight="true" outlineLevel="0" collapsed="false">
      <c r="B22" s="9" t="s">
        <v>33</v>
      </c>
      <c r="C22" s="20"/>
      <c r="G22" s="22" t="s">
        <v>34</v>
      </c>
      <c r="H22" s="23" t="s">
        <v>35</v>
      </c>
    </row>
    <row r="23" customFormat="false" ht="15" hidden="false" customHeight="true" outlineLevel="0" collapsed="false">
      <c r="B23" s="9" t="s">
        <v>36</v>
      </c>
      <c r="C23" s="20"/>
      <c r="G23" s="3" t="s">
        <v>37</v>
      </c>
    </row>
    <row r="24" customFormat="false" ht="15" hidden="false" customHeight="true" outlineLevel="0" collapsed="false">
      <c r="G24" s="3" t="s">
        <v>38</v>
      </c>
    </row>
    <row r="25" customFormat="false" ht="15" hidden="false" customHeight="true" outlineLevel="0" collapsed="false">
      <c r="B25" s="4" t="s">
        <v>39</v>
      </c>
      <c r="C25" s="5"/>
      <c r="D25" s="5"/>
      <c r="E25" s="6"/>
      <c r="G25" s="24"/>
      <c r="H25" s="25" t="s">
        <v>40</v>
      </c>
      <c r="I25" s="25" t="s">
        <v>41</v>
      </c>
      <c r="J25" s="25" t="s">
        <v>42</v>
      </c>
      <c r="K25" s="25" t="s">
        <v>43</v>
      </c>
      <c r="L25" s="25" t="s">
        <v>44</v>
      </c>
      <c r="M25" s="25" t="s">
        <v>45</v>
      </c>
      <c r="N25" s="25" t="s">
        <v>46</v>
      </c>
      <c r="O25" s="25" t="s">
        <v>47</v>
      </c>
      <c r="P25" s="25" t="s">
        <v>48</v>
      </c>
      <c r="Q25" s="26" t="s">
        <v>49</v>
      </c>
    </row>
    <row r="26" customFormat="false" ht="15" hidden="false" customHeight="true" outlineLevel="0" collapsed="false">
      <c r="B26" s="9" t="s">
        <v>50</v>
      </c>
      <c r="C26" s="18"/>
      <c r="G26" s="27" t="s">
        <v>51</v>
      </c>
      <c r="H26" s="28"/>
      <c r="I26" s="28"/>
      <c r="J26" s="28"/>
      <c r="K26" s="28"/>
      <c r="L26" s="28"/>
      <c r="M26" s="28"/>
      <c r="N26" s="28"/>
      <c r="O26" s="28"/>
      <c r="P26" s="28"/>
      <c r="Q26" s="28"/>
    </row>
    <row r="27" customFormat="false" ht="15" hidden="false" customHeight="true" outlineLevel="0" collapsed="false">
      <c r="B27" s="9" t="s">
        <v>52</v>
      </c>
      <c r="C27" s="29" t="n">
        <f aca="false">IFERROR(C26/C9,0)</f>
        <v>0</v>
      </c>
      <c r="G27" s="27" t="s">
        <v>53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</row>
    <row r="28" customFormat="false" ht="15" hidden="false" customHeight="true" outlineLevel="0" collapsed="false">
      <c r="B28" s="9" t="s">
        <v>54</v>
      </c>
      <c r="C28" s="14"/>
      <c r="G28" s="27" t="s">
        <v>55</v>
      </c>
      <c r="H28" s="28"/>
      <c r="I28" s="28"/>
      <c r="J28" s="28"/>
      <c r="K28" s="28"/>
      <c r="L28" s="28"/>
      <c r="M28" s="28"/>
      <c r="N28" s="28"/>
      <c r="O28" s="28"/>
      <c r="P28" s="28"/>
      <c r="Q28" s="28"/>
    </row>
    <row r="29" customFormat="false" ht="15" hidden="false" customHeight="true" outlineLevel="0" collapsed="false">
      <c r="G29" s="27" t="s">
        <v>56</v>
      </c>
      <c r="H29" s="28"/>
      <c r="I29" s="28"/>
      <c r="J29" s="28"/>
      <c r="K29" s="28"/>
      <c r="L29" s="28"/>
      <c r="M29" s="28"/>
      <c r="N29" s="28"/>
      <c r="O29" s="28"/>
      <c r="P29" s="28"/>
      <c r="Q29" s="28"/>
    </row>
    <row r="30" customFormat="false" ht="15" hidden="false" customHeight="true" outlineLevel="0" collapsed="false"/>
    <row r="31" customFormat="false" ht="15" hidden="false" customHeight="true" outlineLevel="0" collapsed="false">
      <c r="B31" s="4" t="s">
        <v>57</v>
      </c>
      <c r="C31" s="5"/>
      <c r="D31" s="5"/>
      <c r="E31" s="6"/>
      <c r="G31" s="4" t="s">
        <v>58</v>
      </c>
      <c r="H31" s="5"/>
      <c r="I31" s="5"/>
      <c r="J31" s="6"/>
      <c r="L31" s="4" t="s">
        <v>59</v>
      </c>
      <c r="M31" s="5"/>
      <c r="N31" s="5"/>
      <c r="O31" s="6"/>
    </row>
    <row r="32" customFormat="false" ht="15" hidden="false" customHeight="true" outlineLevel="0" collapsed="false">
      <c r="B32" s="9" t="s">
        <v>60</v>
      </c>
      <c r="C32" s="18"/>
      <c r="G32" s="24" t="s">
        <v>61</v>
      </c>
      <c r="H32" s="30"/>
      <c r="I32" s="30"/>
      <c r="J32" s="31"/>
      <c r="L32" s="24" t="s">
        <v>61</v>
      </c>
      <c r="M32" s="30"/>
      <c r="N32" s="30"/>
      <c r="O32" s="31"/>
    </row>
    <row r="33" customFormat="false" ht="15" hidden="false" customHeight="true" outlineLevel="0" collapsed="false">
      <c r="B33" s="9" t="s">
        <v>62</v>
      </c>
      <c r="C33" s="19" t="n">
        <f aca="false">C9*C32</f>
        <v>0</v>
      </c>
      <c r="G33" s="32" t="s">
        <v>63</v>
      </c>
      <c r="H33" s="18"/>
      <c r="I33" s="19"/>
      <c r="J33" s="33"/>
      <c r="L33" s="32" t="s">
        <v>63</v>
      </c>
      <c r="M33" s="34" t="str">
        <f aca="false">'Pro Forma'!D6</f>
        <v/>
      </c>
      <c r="N33" s="19"/>
      <c r="O33" s="33"/>
    </row>
    <row r="34" customFormat="false" ht="15" hidden="false" customHeight="true" outlineLevel="0" collapsed="false">
      <c r="G34" s="32" t="s">
        <v>64</v>
      </c>
      <c r="H34" s="18"/>
      <c r="I34" s="19"/>
      <c r="J34" s="33"/>
      <c r="L34" s="32" t="s">
        <v>64</v>
      </c>
      <c r="M34" s="34" t="str">
        <f aca="false">'Pro Forma'!D8</f>
        <v/>
      </c>
      <c r="N34" s="19"/>
      <c r="O34" s="33"/>
    </row>
    <row r="35" customFormat="false" ht="15" hidden="false" customHeight="true" outlineLevel="0" collapsed="false">
      <c r="B35" s="4" t="s">
        <v>65</v>
      </c>
      <c r="C35" s="5"/>
      <c r="D35" s="5"/>
      <c r="E35" s="6"/>
      <c r="G35" s="27" t="s">
        <v>66</v>
      </c>
      <c r="H35" s="35" t="n">
        <f aca="false">H33+H34</f>
        <v>0</v>
      </c>
      <c r="I35" s="19"/>
      <c r="J35" s="33"/>
      <c r="L35" s="27" t="s">
        <v>66</v>
      </c>
      <c r="M35" s="35" t="n">
        <f aca="false">IFERROR(M33+M34,0)</f>
        <v>0</v>
      </c>
      <c r="N35" s="19"/>
      <c r="O35" s="33"/>
    </row>
    <row r="36" customFormat="false" ht="15" hidden="false" customHeight="true" outlineLevel="0" collapsed="false">
      <c r="B36" s="27" t="s">
        <v>67</v>
      </c>
      <c r="C36" s="36" t="s">
        <v>68</v>
      </c>
      <c r="D36" s="9"/>
      <c r="G36" s="32" t="s">
        <v>69</v>
      </c>
      <c r="H36" s="33" t="n">
        <f aca="false">IF(H33=0,0,1+H34/H33)</f>
        <v>0</v>
      </c>
      <c r="I36" s="33"/>
      <c r="L36" s="32" t="s">
        <v>69</v>
      </c>
      <c r="M36" s="33" t="n">
        <f aca="false">IFERROR(IF(M33=0,0,1+M34/M33),0)</f>
        <v>0</v>
      </c>
      <c r="N36" s="33"/>
    </row>
    <row r="37" customFormat="false" ht="15" hidden="false" customHeight="true" outlineLevel="0" collapsed="false">
      <c r="B37" s="32" t="s">
        <v>70</v>
      </c>
      <c r="C37" s="37" t="n">
        <f aca="false">IF(C36="Interest Only",1,IF(C36="Fully Amortizing",2,3))</f>
        <v>1</v>
      </c>
      <c r="D37" s="9"/>
      <c r="G37" s="32" t="s">
        <v>71</v>
      </c>
      <c r="H37" s="18"/>
      <c r="I37" s="33"/>
      <c r="L37" s="32" t="s">
        <v>71</v>
      </c>
      <c r="M37" s="34" t="str">
        <f aca="false">'Pro Forma'!D10</f>
        <v/>
      </c>
      <c r="N37" s="33"/>
    </row>
    <row r="38" customFormat="false" ht="15" hidden="false" customHeight="true" outlineLevel="0" collapsed="false">
      <c r="B38" s="9" t="s">
        <v>72</v>
      </c>
      <c r="C38" s="20"/>
      <c r="G38" s="38" t="s">
        <v>73</v>
      </c>
      <c r="H38" s="39" t="n">
        <f aca="false">H35+H37</f>
        <v>0</v>
      </c>
      <c r="I38" s="33"/>
      <c r="L38" s="38" t="s">
        <v>73</v>
      </c>
      <c r="M38" s="39" t="n">
        <f aca="false">IFERROR(M35+M37,0)</f>
        <v>0</v>
      </c>
      <c r="N38" s="33"/>
    </row>
    <row r="39" customFormat="false" ht="15" hidden="false" customHeight="true" outlineLevel="0" collapsed="false">
      <c r="B39" s="9" t="s">
        <v>74</v>
      </c>
      <c r="C39" s="19" t="n">
        <f aca="false">C15*C38</f>
        <v>0</v>
      </c>
    </row>
    <row r="40" customFormat="false" ht="15" hidden="false" customHeight="true" outlineLevel="0" collapsed="false">
      <c r="B40" s="9" t="s">
        <v>75</v>
      </c>
      <c r="C40" s="20"/>
      <c r="G40" s="24" t="s">
        <v>76</v>
      </c>
      <c r="H40" s="25" t="s">
        <v>77</v>
      </c>
      <c r="I40" s="25" t="s">
        <v>78</v>
      </c>
      <c r="J40" s="26" t="s">
        <v>79</v>
      </c>
      <c r="L40" s="24" t="s">
        <v>76</v>
      </c>
      <c r="M40" s="25" t="s">
        <v>77</v>
      </c>
      <c r="N40" s="25" t="s">
        <v>78</v>
      </c>
      <c r="O40" s="26" t="s">
        <v>79</v>
      </c>
    </row>
    <row r="41" customFormat="false" ht="15" hidden="false" customHeight="true" outlineLevel="0" collapsed="false">
      <c r="B41" s="9" t="s">
        <v>80</v>
      </c>
      <c r="C41" s="14"/>
      <c r="D41" s="3"/>
      <c r="G41" s="32" t="s">
        <v>81</v>
      </c>
      <c r="H41" s="18"/>
      <c r="I41" s="19" t="n">
        <f aca="false">IF(H41=0,0,H41/$C$9)</f>
        <v>0</v>
      </c>
      <c r="J41" s="33" t="n">
        <f aca="false">IF(H41=0,0,H41/$H$38)</f>
        <v>0</v>
      </c>
      <c r="L41" s="32" t="s">
        <v>81</v>
      </c>
      <c r="M41" s="34" t="str">
        <f aca="false">'Pro Forma'!D14</f>
        <v/>
      </c>
      <c r="N41" s="19" t="n">
        <f aca="false">IFERROR(IF(M41=0,0,M41/$C$9),0)</f>
        <v>0</v>
      </c>
      <c r="O41" s="33" t="n">
        <f aca="false">IFERROR(IF(M41=0,0,M41/$H$38),0)</f>
        <v>0</v>
      </c>
    </row>
    <row r="42" customFormat="false" ht="15" hidden="false" customHeight="true" outlineLevel="0" collapsed="false">
      <c r="B42" s="9" t="s">
        <v>82</v>
      </c>
      <c r="C42" s="14"/>
      <c r="G42" s="32" t="s">
        <v>83</v>
      </c>
      <c r="H42" s="18"/>
      <c r="I42" s="19" t="n">
        <f aca="false">IF(H42=0,0,H42/$C$9)</f>
        <v>0</v>
      </c>
      <c r="J42" s="33" t="n">
        <f aca="false">IF(H42=0,0,H42/$H$38)</f>
        <v>0</v>
      </c>
      <c r="L42" s="32" t="s">
        <v>83</v>
      </c>
      <c r="M42" s="34" t="str">
        <f aca="false">'Pro Forma'!D15</f>
        <v/>
      </c>
      <c r="N42" s="19" t="n">
        <f aca="false">IFERROR(IF(M42=0,0,M42/$C$9),0)</f>
        <v>0</v>
      </c>
      <c r="O42" s="33" t="n">
        <f aca="false">IFERROR(IF(M42=0,0,M42/$H$38),0)</f>
        <v>0</v>
      </c>
    </row>
    <row r="43" customFormat="false" ht="15" hidden="false" customHeight="true" outlineLevel="0" collapsed="false">
      <c r="B43" s="9" t="s">
        <v>84</v>
      </c>
      <c r="C43" s="14"/>
      <c r="G43" s="32" t="s">
        <v>85</v>
      </c>
      <c r="H43" s="18"/>
      <c r="I43" s="19" t="n">
        <f aca="false">IF(H43=0,0,H43/$C$9)</f>
        <v>0</v>
      </c>
      <c r="J43" s="33" t="n">
        <f aca="false">IF(H43=0,0,H43/$H$38)</f>
        <v>0</v>
      </c>
      <c r="L43" s="32" t="s">
        <v>85</v>
      </c>
      <c r="M43" s="34" t="str">
        <f aca="false">'Pro Forma'!D16</f>
        <v/>
      </c>
      <c r="N43" s="19" t="n">
        <f aca="false">IFERROR(IF(M43=0,0,M43/$C$9),0)</f>
        <v>0</v>
      </c>
      <c r="O43" s="33" t="n">
        <f aca="false">IFERROR(IF(M43=0,0,M43/$H$38),0)</f>
        <v>0</v>
      </c>
    </row>
    <row r="44" customFormat="false" ht="15" hidden="false" customHeight="true" outlineLevel="0" collapsed="false">
      <c r="G44" s="32" t="s">
        <v>86</v>
      </c>
      <c r="H44" s="18"/>
      <c r="I44" s="19" t="n">
        <f aca="false">IF(H44=0,0,H44/$C$9)</f>
        <v>0</v>
      </c>
      <c r="J44" s="33" t="n">
        <f aca="false">IF(H44=0,0,H44/$H$38)</f>
        <v>0</v>
      </c>
      <c r="L44" s="32" t="s">
        <v>86</v>
      </c>
      <c r="M44" s="34" t="str">
        <f aca="false">'Pro Forma'!D17</f>
        <v/>
      </c>
      <c r="N44" s="19" t="n">
        <f aca="false">IFERROR(IF(M44=0,0,M44/$C$9),0)</f>
        <v>0</v>
      </c>
      <c r="O44" s="33" t="n">
        <f aca="false">IFERROR(IF(M44=0,0,M44/$H$38),0)</f>
        <v>0</v>
      </c>
    </row>
    <row r="45" customFormat="false" ht="15" hidden="false" customHeight="true" outlineLevel="0" collapsed="false">
      <c r="B45" s="40" t="s">
        <v>87</v>
      </c>
      <c r="C45" s="41"/>
      <c r="D45" s="41"/>
      <c r="E45" s="41"/>
      <c r="G45" s="32" t="s">
        <v>88</v>
      </c>
      <c r="H45" s="18"/>
      <c r="I45" s="19" t="n">
        <f aca="false">IF(H45=0,0,H45/$C$9)</f>
        <v>0</v>
      </c>
      <c r="J45" s="33" t="n">
        <f aca="false">IF(H45=0,0,H45/$H$38)</f>
        <v>0</v>
      </c>
      <c r="L45" s="32" t="s">
        <v>88</v>
      </c>
      <c r="M45" s="34" t="str">
        <f aca="false">'Pro Forma'!D18</f>
        <v/>
      </c>
      <c r="N45" s="19" t="n">
        <f aca="false">IFERROR(IF(M45=0,0,M45/$C$9),0)</f>
        <v>0</v>
      </c>
      <c r="O45" s="33" t="n">
        <f aca="false">IFERROR(IF(M45=0,0,M45/$H$38),0)</f>
        <v>0</v>
      </c>
    </row>
    <row r="46" customFormat="false" ht="15" hidden="false" customHeight="true" outlineLevel="0" collapsed="false">
      <c r="B46" s="9" t="s">
        <v>89</v>
      </c>
      <c r="C46" s="19" t="n">
        <f aca="false">C39*C40</f>
        <v>0</v>
      </c>
      <c r="G46" s="32" t="s">
        <v>90</v>
      </c>
      <c r="H46" s="18"/>
      <c r="I46" s="19" t="n">
        <f aca="false">IF(H46=0,0,H46/$C$9)</f>
        <v>0</v>
      </c>
      <c r="J46" s="33" t="n">
        <f aca="false">IF(H46=0,0,H46/$H$38)</f>
        <v>0</v>
      </c>
      <c r="L46" s="32" t="s">
        <v>90</v>
      </c>
      <c r="M46" s="34" t="str">
        <f aca="false">'Pro Forma'!D19</f>
        <v/>
      </c>
      <c r="N46" s="19" t="n">
        <f aca="false">IFERROR(IF(M46=0,0,M46/$C$9),0)</f>
        <v>0</v>
      </c>
      <c r="O46" s="33" t="n">
        <f aca="false">IFERROR(IF(M46=0,0,M46/$H$38),0)</f>
        <v>0</v>
      </c>
    </row>
    <row r="47" customFormat="false" ht="15" hidden="false" customHeight="true" outlineLevel="0" collapsed="false">
      <c r="B47" s="9" t="s">
        <v>91</v>
      </c>
      <c r="C47" s="19" t="n">
        <f aca="false">IF(C42=0,0,-PMT(C40/12,C42*12,C39)*12)</f>
        <v>0</v>
      </c>
      <c r="G47" s="32" t="s">
        <v>92</v>
      </c>
      <c r="H47" s="18"/>
      <c r="I47" s="19" t="n">
        <f aca="false">IF(H47=0,0,H47/$C$9)</f>
        <v>0</v>
      </c>
      <c r="J47" s="33" t="n">
        <f aca="false">IF(H47=0,0,H47/$H$38)</f>
        <v>0</v>
      </c>
      <c r="L47" s="32" t="s">
        <v>92</v>
      </c>
      <c r="M47" s="34" t="str">
        <f aca="false">'Pro Forma'!D20</f>
        <v/>
      </c>
      <c r="N47" s="19" t="n">
        <f aca="false">IFERROR(IF(M47=0,0,M47/$C$9),0)</f>
        <v>0</v>
      </c>
      <c r="O47" s="33" t="n">
        <f aca="false">IFERROR(IF(M47=0,0,M47/$H$38),0)</f>
        <v>0</v>
      </c>
    </row>
    <row r="48" customFormat="false" ht="15" hidden="false" customHeight="true" outlineLevel="0" collapsed="false">
      <c r="G48" s="32" t="s">
        <v>93</v>
      </c>
      <c r="H48" s="18"/>
      <c r="I48" s="19" t="n">
        <f aca="false">IF(H48=0,0,H48/$C$9)</f>
        <v>0</v>
      </c>
      <c r="J48" s="33" t="n">
        <f aca="false">IF(H48=0,0,H48/$H$38)</f>
        <v>0</v>
      </c>
      <c r="L48" s="32" t="s">
        <v>93</v>
      </c>
      <c r="M48" s="34" t="str">
        <f aca="false">'Pro Forma'!D21</f>
        <v/>
      </c>
      <c r="N48" s="19" t="n">
        <f aca="false">IFERROR(IF(M48=0,0,M48/$C$9),0)</f>
        <v>0</v>
      </c>
      <c r="O48" s="33" t="n">
        <f aca="false">IFERROR(IF(M48=0,0,M48/$H$38),0)</f>
        <v>0</v>
      </c>
    </row>
    <row r="49" customFormat="false" ht="15" hidden="false" customHeight="true" outlineLevel="0" collapsed="false">
      <c r="B49" s="7" t="s">
        <v>94</v>
      </c>
      <c r="C49" s="8"/>
      <c r="D49" s="8"/>
      <c r="E49" s="8"/>
      <c r="G49" s="32" t="s">
        <v>95</v>
      </c>
      <c r="H49" s="18"/>
      <c r="I49" s="19" t="n">
        <f aca="false">IF(H49=0,0,H49/$C$9)</f>
        <v>0</v>
      </c>
      <c r="J49" s="33" t="n">
        <f aca="false">IF(H49=0,0,H49/$H$38)</f>
        <v>0</v>
      </c>
      <c r="L49" s="32" t="s">
        <v>95</v>
      </c>
      <c r="M49" s="34" t="str">
        <f aca="false">'Pro Forma'!D22</f>
        <v/>
      </c>
      <c r="N49" s="19" t="n">
        <f aca="false">IFERROR(IF(M49=0,0,M49/$C$9),0)</f>
        <v>0</v>
      </c>
      <c r="O49" s="33" t="n">
        <f aca="false">IFERROR(IF(M49=0,0,M49/$H$38),0)</f>
        <v>0</v>
      </c>
    </row>
    <row r="50" customFormat="false" ht="15" hidden="false" customHeight="true" outlineLevel="0" collapsed="false">
      <c r="B50" s="9" t="str">
        <f aca="false">"Going-In DSCR ("&amp;IF(Assumptions!$C$37=1,"IO",IF(Assumptions!$C$37=2,"Amort",IF(1&lt;=Assumptions!$C$41,"IO","Amort")))&amp;")"</f>
        <v>Going-In DSCR (IO)</v>
      </c>
      <c r="C50" s="12" t="n">
        <f aca="false">IFERROR(IF('Pro Forma'!D$34=0,0,'Pro Forma'!D$26/'Pro Forma'!D$34),0)</f>
        <v>0</v>
      </c>
      <c r="D50" s="11"/>
      <c r="G50" s="38" t="s">
        <v>96</v>
      </c>
      <c r="H50" s="39" t="n">
        <f aca="false">SUM(H41:H49)</f>
        <v>0</v>
      </c>
      <c r="I50" s="42" t="n">
        <f aca="false">IF(H50=0,0,H50/$C$9)</f>
        <v>0</v>
      </c>
      <c r="J50" s="43" t="n">
        <f aca="false">IF(H50=0,0,H50/$H$38)</f>
        <v>0</v>
      </c>
      <c r="L50" s="44" t="s">
        <v>96</v>
      </c>
      <c r="M50" s="42" t="n">
        <f aca="false">SUM(M41:M49)</f>
        <v>0</v>
      </c>
      <c r="N50" s="42" t="n">
        <f aca="false">IF(M50=0,0,M50/$C$9)</f>
        <v>0</v>
      </c>
      <c r="O50" s="43" t="n">
        <f aca="false">IF(M50=0,0,M50/$H$38)</f>
        <v>0</v>
      </c>
    </row>
    <row r="51" customFormat="false" ht="15" hidden="false" customHeight="true" outlineLevel="0" collapsed="false">
      <c r="B51" s="9" t="s">
        <v>97</v>
      </c>
      <c r="C51" s="11" t="n">
        <f aca="false">IF(C39=0,0,H52/C39)</f>
        <v>0</v>
      </c>
      <c r="D51" s="11"/>
    </row>
    <row r="52" customFormat="false" ht="15" hidden="false" customHeight="true" outlineLevel="0" collapsed="false">
      <c r="B52" s="9" t="s">
        <v>98</v>
      </c>
      <c r="C52" s="11" t="n">
        <f aca="false">IF(H33=0,0,(H50+C68)/H33)</f>
        <v>0</v>
      </c>
      <c r="D52" s="12"/>
      <c r="G52" s="38" t="s">
        <v>99</v>
      </c>
      <c r="H52" s="39" t="n">
        <f aca="false">H38-H50</f>
        <v>0</v>
      </c>
      <c r="I52" s="39" t="n">
        <f aca="false">IF(H52=0,0,H52/$C$9)</f>
        <v>0</v>
      </c>
      <c r="J52" s="45" t="n">
        <f aca="false">IF(H52=0,0,H52/$H$38)</f>
        <v>0</v>
      </c>
      <c r="L52" s="38" t="s">
        <v>99</v>
      </c>
      <c r="M52" s="39" t="n">
        <f aca="false">M38-M50</f>
        <v>0</v>
      </c>
      <c r="N52" s="39" t="n">
        <f aca="false">IF(M52=0,0,M52/$C$9)</f>
        <v>0</v>
      </c>
      <c r="O52" s="45" t="n">
        <f aca="false">IF(M52=0,0,M52/$H$38)</f>
        <v>0</v>
      </c>
    </row>
    <row r="53" customFormat="false" ht="15" hidden="false" customHeight="true" outlineLevel="0" collapsed="false">
      <c r="D53" s="11"/>
      <c r="G53" s="32" t="s">
        <v>100</v>
      </c>
      <c r="H53" s="46" t="n">
        <f aca="false">C9*C32</f>
        <v>0</v>
      </c>
      <c r="I53" s="19" t="n">
        <f aca="false">IF(H53=0,0,H53/$C$9)</f>
        <v>0</v>
      </c>
      <c r="J53" s="33" t="n">
        <f aca="false">IF($H$38=0,0,H53/$H$38)</f>
        <v>0</v>
      </c>
      <c r="L53" s="32" t="s">
        <v>100</v>
      </c>
      <c r="M53" s="46" t="str">
        <f aca="false">'Pro Forma'!D36</f>
        <v/>
      </c>
      <c r="N53" s="19" t="n">
        <f aca="false">IFERROR(IF(M53=0,0,M53/$C$9),0)</f>
        <v>0</v>
      </c>
      <c r="O53" s="33" t="n">
        <f aca="false">IF($H$38=0,0,M53/$H$38)</f>
        <v>0</v>
      </c>
    </row>
    <row r="54" customFormat="false" ht="15" hidden="false" customHeight="true" outlineLevel="0" collapsed="false">
      <c r="B54" s="16" t="s">
        <v>101</v>
      </c>
      <c r="C54" s="17"/>
      <c r="D54" s="17"/>
      <c r="E54" s="47"/>
      <c r="G54" s="38" t="s">
        <v>102</v>
      </c>
      <c r="H54" s="39" t="n">
        <f aca="false">H52-H53</f>
        <v>0</v>
      </c>
      <c r="I54" s="39" t="n">
        <f aca="false">IF(H54=0,0,H54/$C$9)</f>
        <v>0</v>
      </c>
      <c r="J54" s="45" t="n">
        <f aca="false">IF($H$38=0,0,H54/$H$38)</f>
        <v>0</v>
      </c>
      <c r="L54" s="38" t="s">
        <v>102</v>
      </c>
      <c r="M54" s="39" t="n">
        <f aca="false">IFERROR(M52-M53,0)</f>
        <v>0</v>
      </c>
      <c r="N54" s="39" t="n">
        <f aca="false">IF(M54=0,0,M54/$C$9)</f>
        <v>0</v>
      </c>
      <c r="O54" s="45" t="n">
        <f aca="false">IF($H$38=0,0,M54/$H$38)</f>
        <v>0</v>
      </c>
    </row>
    <row r="55" customFormat="false" ht="15" hidden="false" customHeight="true" outlineLevel="0" collapsed="false">
      <c r="B55" s="9" t="s">
        <v>103</v>
      </c>
      <c r="C55" s="14" t="n">
        <v>0</v>
      </c>
    </row>
    <row r="56" customFormat="false" ht="15" hidden="false" customHeight="true" outlineLevel="0" collapsed="false">
      <c r="B56" s="9" t="s">
        <v>104</v>
      </c>
      <c r="C56" s="20"/>
      <c r="G56" s="24" t="s">
        <v>105</v>
      </c>
      <c r="H56" s="30"/>
      <c r="I56" s="30"/>
      <c r="J56" s="31"/>
      <c r="L56" s="24" t="s">
        <v>105</v>
      </c>
      <c r="M56" s="30"/>
      <c r="N56" s="30"/>
      <c r="O56" s="31"/>
    </row>
    <row r="57" customFormat="false" ht="15" hidden="false" customHeight="true" outlineLevel="0" collapsed="false">
      <c r="B57" s="9" t="s">
        <v>106</v>
      </c>
      <c r="C57" s="20"/>
      <c r="G57" s="32" t="s">
        <v>107</v>
      </c>
      <c r="H57" s="19" t="n">
        <f aca="false">IF(C9=0,0,H52/C9)</f>
        <v>0</v>
      </c>
      <c r="I57" s="19"/>
      <c r="L57" s="32" t="s">
        <v>107</v>
      </c>
      <c r="M57" s="19" t="n">
        <f aca="false">IF(C9=0,0,M52/C9)</f>
        <v>0</v>
      </c>
      <c r="N57" s="19"/>
    </row>
    <row r="58" customFormat="false" ht="15" hidden="false" customHeight="true" outlineLevel="0" collapsed="false">
      <c r="B58" s="9" t="s">
        <v>108</v>
      </c>
      <c r="C58" s="19" t="n">
        <f aca="false">C55*C15*C56*C57</f>
        <v>0</v>
      </c>
      <c r="G58" s="32" t="s">
        <v>109</v>
      </c>
      <c r="H58" s="21" t="n">
        <f aca="false">IF(C10=0,0,H52/C10)</f>
        <v>0</v>
      </c>
      <c r="I58" s="21"/>
      <c r="L58" s="32" t="s">
        <v>109</v>
      </c>
      <c r="M58" s="21" t="n">
        <f aca="false">IF(C10=0,0,M52/C10)</f>
        <v>0</v>
      </c>
      <c r="N58" s="21"/>
    </row>
    <row r="59" customFormat="false" ht="15" hidden="false" customHeight="true" outlineLevel="0" collapsed="false">
      <c r="G59" s="32" t="s">
        <v>110</v>
      </c>
      <c r="H59" s="19" t="n">
        <f aca="false">IF(C9=0,0,H38/C9)</f>
        <v>0</v>
      </c>
      <c r="I59" s="19"/>
      <c r="L59" s="32" t="s">
        <v>110</v>
      </c>
      <c r="M59" s="19" t="n">
        <f aca="false">IF(C9=0,0,M38/C9)</f>
        <v>0</v>
      </c>
      <c r="N59" s="19"/>
    </row>
    <row r="60" customFormat="false" ht="15" hidden="false" customHeight="true" outlineLevel="0" collapsed="false">
      <c r="B60" s="7" t="s">
        <v>111</v>
      </c>
      <c r="C60" s="8" t="s">
        <v>112</v>
      </c>
      <c r="D60" s="8" t="s">
        <v>78</v>
      </c>
      <c r="E60" s="8" t="s">
        <v>113</v>
      </c>
      <c r="G60" s="32" t="s">
        <v>114</v>
      </c>
      <c r="H60" s="33" t="n">
        <f aca="false">IF(H38=0,0,H50/H38)</f>
        <v>0</v>
      </c>
      <c r="I60" s="33"/>
      <c r="L60" s="32" t="s">
        <v>114</v>
      </c>
      <c r="M60" s="33" t="n">
        <f aca="false">IFERROR(IF(M38=0,0,M50/M38),0)</f>
        <v>0</v>
      </c>
      <c r="N60" s="33"/>
    </row>
    <row r="61" customFormat="false" ht="15" hidden="false" customHeight="true" outlineLevel="0" collapsed="false">
      <c r="B61" s="32" t="s">
        <v>115</v>
      </c>
      <c r="C61" s="19" t="n">
        <f aca="false">C39</f>
        <v>0</v>
      </c>
      <c r="D61" s="19" t="n">
        <f aca="false">IF(C61=0,0,C61/$C$9)</f>
        <v>0</v>
      </c>
      <c r="E61" s="33" t="n">
        <f aca="false">IF(C19=0,0,C61/C19)</f>
        <v>0</v>
      </c>
      <c r="G61" s="32" t="s">
        <v>116</v>
      </c>
      <c r="H61" s="29" t="n">
        <f aca="false">IF(C9=0,0,H33/C9/12)</f>
        <v>0</v>
      </c>
      <c r="I61" s="19"/>
      <c r="L61" s="32" t="s">
        <v>116</v>
      </c>
      <c r="M61" s="19" t="n">
        <f aca="false">IF(C9=0,0,M35/C9/12)</f>
        <v>0</v>
      </c>
      <c r="N61" s="19"/>
    </row>
    <row r="62" customFormat="false" ht="15" hidden="false" customHeight="true" outlineLevel="0" collapsed="false">
      <c r="B62" s="32" t="s">
        <v>117</v>
      </c>
      <c r="C62" s="19" t="n">
        <f aca="false">C55*C15*C56</f>
        <v>0</v>
      </c>
      <c r="D62" s="19" t="n">
        <f aca="false">IF(C62=0,0,C62/$C$9)</f>
        <v>0</v>
      </c>
      <c r="E62" s="33" t="n">
        <f aca="false">IF(C19=0,0,C62/C19)</f>
        <v>0</v>
      </c>
    </row>
    <row r="63" customFormat="false" ht="15" hidden="false" customHeight="true" outlineLevel="0" collapsed="false">
      <c r="B63" s="40" t="s">
        <v>118</v>
      </c>
      <c r="C63" s="48" t="n">
        <f aca="false">C61+C62</f>
        <v>0</v>
      </c>
      <c r="D63" s="48" t="n">
        <f aca="false">IF(C63=0,0,C63/$C$9)</f>
        <v>0</v>
      </c>
      <c r="E63" s="49" t="n">
        <f aca="false">IF(C19=0,0,C63/C19)</f>
        <v>0</v>
      </c>
    </row>
    <row r="64" customFormat="false" ht="15" hidden="false" customHeight="true" outlineLevel="0" collapsed="false">
      <c r="B64" s="27" t="s">
        <v>119</v>
      </c>
      <c r="C64" s="35" t="n">
        <f aca="false">C19-C63</f>
        <v>0</v>
      </c>
      <c r="D64" s="35" t="n">
        <f aca="false">IF(C64=0,0,C64/$C$9)</f>
        <v>0</v>
      </c>
      <c r="E64" s="33" t="n">
        <f aca="false">IF(C19=0,0,C64/C19)</f>
        <v>0</v>
      </c>
    </row>
    <row r="65" customFormat="false" ht="15" hidden="false" customHeight="true" outlineLevel="0" collapsed="false">
      <c r="B65" s="38" t="s">
        <v>120</v>
      </c>
      <c r="C65" s="39" t="n">
        <f aca="false">C19</f>
        <v>0</v>
      </c>
      <c r="D65" s="39" t="n">
        <f aca="false">IF(C65=0,0,C65/$C$9)</f>
        <v>0</v>
      </c>
      <c r="E65" s="45" t="n">
        <f aca="false">IF(C19=0,0,1)</f>
        <v>0</v>
      </c>
    </row>
    <row r="66" customFormat="false" ht="15" hidden="false" customHeight="true" outlineLevel="0" collapsed="false">
      <c r="B66" s="32" t="s">
        <v>121</v>
      </c>
      <c r="C66" s="33" t="n">
        <f aca="false">IF(C15=0,0,C63/C15)</f>
        <v>0</v>
      </c>
    </row>
    <row r="67" customFormat="false" ht="15" hidden="false" customHeight="true" outlineLevel="0" collapsed="false">
      <c r="B67" s="32" t="s">
        <v>122</v>
      </c>
      <c r="C67" s="33" t="n">
        <f aca="false">IF(C63=0,0,(C61*C40+C62*C57)/C63)</f>
        <v>0</v>
      </c>
    </row>
    <row r="68" customFormat="false" ht="15" hidden="false" customHeight="true" outlineLevel="0" collapsed="false">
      <c r="B68" s="32" t="s">
        <v>123</v>
      </c>
      <c r="C68" s="19" t="n">
        <f aca="false">C46+C58</f>
        <v>0</v>
      </c>
    </row>
    <row r="69" customFormat="false" ht="15" hidden="false" customHeight="true" outlineLevel="0" collapsed="false">
      <c r="B69" s="32" t="s">
        <v>124</v>
      </c>
      <c r="C69" s="19" t="n">
        <f aca="false">C47+C58</f>
        <v>0</v>
      </c>
    </row>
    <row r="70" customFormat="false" ht="15" hidden="false" customHeight="true" outlineLevel="0" collapsed="false">
      <c r="B70" s="50" t="s">
        <v>125</v>
      </c>
      <c r="C70" s="29" t="n">
        <f aca="false">C15*(1+C18)-C63</f>
        <v>0</v>
      </c>
    </row>
    <row r="71" customFormat="false" ht="15" hidden="false" customHeight="true" outlineLevel="0" collapsed="false">
      <c r="B71" s="32"/>
      <c r="C71" s="19"/>
    </row>
    <row r="72" customFormat="false" ht="15" hidden="false" customHeight="true" outlineLevel="0" collapsed="false">
      <c r="B72" s="16" t="s">
        <v>126</v>
      </c>
      <c r="C72" s="17"/>
      <c r="D72" s="17"/>
      <c r="E72" s="47"/>
    </row>
    <row r="73" customFormat="false" ht="15" hidden="false" customHeight="true" outlineLevel="0" collapsed="false">
      <c r="B73" s="27" t="s">
        <v>127</v>
      </c>
      <c r="C73" s="36" t="s">
        <v>35</v>
      </c>
      <c r="D73" s="9"/>
      <c r="E73" s="9"/>
    </row>
    <row r="74" customFormat="false" ht="15" hidden="false" customHeight="true" outlineLevel="0" collapsed="false">
      <c r="B74" s="51" t="s">
        <v>128</v>
      </c>
      <c r="C74" s="9"/>
      <c r="D74" s="9"/>
    </row>
    <row r="75" customFormat="false" ht="15" hidden="false" customHeight="true" outlineLevel="0" collapsed="false">
      <c r="B75" s="9" t="s">
        <v>129</v>
      </c>
      <c r="C75" s="20"/>
      <c r="D75" s="9"/>
    </row>
    <row r="76" customFormat="false" ht="15" hidden="false" customHeight="true" outlineLevel="0" collapsed="false">
      <c r="B76" s="9" t="s">
        <v>130</v>
      </c>
      <c r="C76" s="33" t="n">
        <f aca="false">1-C75</f>
        <v>1</v>
      </c>
      <c r="D76" s="9"/>
    </row>
    <row r="77" customFormat="false" ht="15" hidden="false" customHeight="true" outlineLevel="0" collapsed="false">
      <c r="B77" s="9" t="s">
        <v>131</v>
      </c>
      <c r="C77" s="19" t="n">
        <f aca="false">IF(C73="Yes",C64*C75,0)</f>
        <v>0</v>
      </c>
      <c r="D77" s="9"/>
    </row>
    <row r="78" customFormat="false" ht="15" hidden="false" customHeight="true" outlineLevel="0" collapsed="false">
      <c r="B78" s="9" t="s">
        <v>132</v>
      </c>
      <c r="C78" s="19" t="n">
        <f aca="false">IF(C73="Yes",C64*C76,C64)</f>
        <v>0</v>
      </c>
      <c r="D78" s="9"/>
    </row>
    <row r="79" customFormat="false" ht="15" hidden="false" customHeight="true" outlineLevel="0" collapsed="false">
      <c r="B79" s="9" t="s">
        <v>133</v>
      </c>
      <c r="C79" s="20"/>
      <c r="D79" s="9"/>
    </row>
    <row r="80" customFormat="false" ht="15" hidden="false" customHeight="true" outlineLevel="0" collapsed="false">
      <c r="B80" s="9" t="s">
        <v>134</v>
      </c>
      <c r="C80" s="20"/>
      <c r="D80" s="9"/>
    </row>
    <row r="81" customFormat="false" ht="15" hidden="false" customHeight="true" outlineLevel="0" collapsed="false">
      <c r="B81" s="9" t="s">
        <v>135</v>
      </c>
      <c r="C81" s="20"/>
      <c r="D81" s="9"/>
    </row>
    <row r="82" customFormat="false" ht="15" hidden="false" customHeight="true" outlineLevel="0" collapsed="false">
      <c r="B82" s="9" t="s">
        <v>136</v>
      </c>
      <c r="C82" s="20"/>
      <c r="D82" s="9"/>
    </row>
    <row r="83" customFormat="false" ht="15" hidden="false" customHeight="true" outlineLevel="0" collapsed="false">
      <c r="B83" s="9" t="s">
        <v>137</v>
      </c>
      <c r="C83" s="20"/>
      <c r="D83" s="9"/>
    </row>
    <row r="84" customFormat="false" ht="15" hidden="false" customHeight="true" outlineLevel="0" collapsed="false">
      <c r="B84" s="9" t="s">
        <v>138</v>
      </c>
      <c r="C84" s="20"/>
      <c r="D84" s="9"/>
    </row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" hidden="false" customHeight="true" outlineLevel="0" collapsed="false"/>
    <row r="138" customFormat="false" ht="1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/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  <row r="156" customFormat="false" ht="15" hidden="false" customHeight="true" outlineLevel="0" collapsed="false"/>
    <row r="157" customFormat="false" ht="15" hidden="false" customHeight="true" outlineLevel="0" collapsed="false"/>
    <row r="158" customFormat="false" ht="15" hidden="false" customHeight="true" outlineLevel="0" collapsed="false"/>
    <row r="159" customFormat="false" ht="15" hidden="false" customHeight="true" outlineLevel="0" collapsed="false"/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15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/>
    <row r="166" customFormat="false" ht="15" hidden="false" customHeight="true" outlineLevel="0" collapsed="false"/>
    <row r="167" customFormat="false" ht="15" hidden="false" customHeight="true" outlineLevel="0" collapsed="false"/>
    <row r="168" customFormat="false" ht="15" hidden="false" customHeight="true" outlineLevel="0" collapsed="false"/>
    <row r="169" customFormat="false" ht="15" hidden="false" customHeight="true" outlineLevel="0" collapsed="false"/>
    <row r="170" customFormat="false" ht="15" hidden="false" customHeight="true" outlineLevel="0" collapsed="false"/>
    <row r="171" customFormat="false" ht="15" hidden="false" customHeight="true" outlineLevel="0" collapsed="false"/>
    <row r="172" customFormat="false" ht="15" hidden="false" customHeight="true" outlineLevel="0" collapsed="false"/>
    <row r="173" customFormat="false" ht="15" hidden="false" customHeight="true" outlineLevel="0" collapsed="false"/>
    <row r="174" customFormat="false" ht="15" hidden="false" customHeight="true" outlineLevel="0" collapsed="false"/>
    <row r="175" customFormat="false" ht="15" hidden="false" customHeight="true" outlineLevel="0" collapsed="false"/>
    <row r="176" customFormat="false" ht="15" hidden="false" customHeight="true" outlineLevel="0" collapsed="false"/>
    <row r="177" customFormat="false" ht="15" hidden="false" customHeight="true" outlineLevel="0" collapsed="false"/>
    <row r="178" customFormat="false" ht="15" hidden="false" customHeight="true" outlineLevel="0" collapsed="false"/>
    <row r="179" customFormat="false" ht="15" hidden="false" customHeight="true" outlineLevel="0" collapsed="false"/>
    <row r="180" customFormat="false" ht="15" hidden="false" customHeight="true" outlineLevel="0" collapsed="false"/>
    <row r="181" customFormat="false" ht="15" hidden="false" customHeight="true" outlineLevel="0" collapsed="false"/>
    <row r="182" customFormat="false" ht="15" hidden="false" customHeight="true" outlineLevel="0" collapsed="false"/>
    <row r="183" customFormat="false" ht="15" hidden="false" customHeight="true" outlineLevel="0" collapsed="false">
      <c r="L183" s="32"/>
      <c r="M183" s="37"/>
      <c r="N183" s="9"/>
    </row>
    <row r="184" customFormat="false" ht="15" hidden="false" customHeight="true" outlineLevel="0" collapsed="false">
      <c r="L184" s="32"/>
      <c r="M184" s="37"/>
      <c r="N184" s="9"/>
    </row>
    <row r="185" customFormat="false" ht="15" hidden="false" customHeight="true" outlineLevel="0" collapsed="false">
      <c r="L185" s="32"/>
      <c r="M185" s="37"/>
      <c r="N185" s="9"/>
    </row>
    <row r="186" customFormat="false" ht="15" hidden="false" customHeight="true" outlineLevel="0" collapsed="false">
      <c r="L186" s="32"/>
      <c r="M186" s="37"/>
      <c r="N186" s="9"/>
    </row>
    <row r="187" customFormat="false" ht="15" hidden="false" customHeight="true" outlineLevel="0" collapsed="false">
      <c r="L187" s="32"/>
      <c r="M187" s="37"/>
      <c r="N187" s="9"/>
    </row>
    <row r="188" customFormat="false" ht="15" hidden="false" customHeight="true" outlineLevel="0" collapsed="false">
      <c r="L188" s="32"/>
      <c r="M188" s="37"/>
      <c r="N188" s="9"/>
    </row>
    <row r="189" customFormat="false" ht="15" hidden="false" customHeight="true" outlineLevel="0" collapsed="false">
      <c r="L189" s="32"/>
      <c r="M189" s="37"/>
      <c r="N189" s="9"/>
    </row>
    <row r="190" customFormat="false" ht="15" hidden="false" customHeight="true" outlineLevel="0" collapsed="false">
      <c r="L190" s="32"/>
      <c r="M190" s="37"/>
      <c r="N190" s="9"/>
    </row>
    <row r="191" customFormat="false" ht="15" hidden="false" customHeight="true" outlineLevel="0" collapsed="false">
      <c r="L191" s="32"/>
      <c r="M191" s="37"/>
      <c r="N191" s="9"/>
    </row>
    <row r="192" customFormat="false" ht="15" hidden="false" customHeight="true" outlineLevel="0" collapsed="false">
      <c r="L192" s="32"/>
      <c r="M192" s="37"/>
      <c r="N192" s="9"/>
    </row>
    <row r="193" customFormat="false" ht="1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/>
    <row r="196" customFormat="false" ht="15" hidden="false" customHeight="true" outlineLevel="0" collapsed="false"/>
    <row r="197" customFormat="false" ht="15" hidden="false" customHeight="true" outlineLevel="0" collapsed="false"/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.75" hidden="false" customHeight="true" outlineLevel="0" collapsed="false"/>
    <row r="202" customFormat="false" ht="15" hidden="false" customHeight="true" outlineLevel="0" collapsed="false"/>
    <row r="203" customFormat="false" ht="15" hidden="false" customHeight="true" outlineLevel="0" collapsed="false"/>
    <row r="204" customFormat="false" ht="15" hidden="false" customHeight="true" outlineLevel="0" collapsed="false"/>
    <row r="205" customFormat="false" ht="15" hidden="false" customHeight="true" outlineLevel="0" collapsed="false"/>
    <row r="206" customFormat="false" ht="15" hidden="false" customHeight="true" outlineLevel="0" collapsed="false"/>
    <row r="207" customFormat="false" ht="15" hidden="false" customHeight="true" outlineLevel="0" collapsed="false"/>
    <row r="208" customFormat="false" ht="15" hidden="false" customHeight="true" outlineLevel="0" collapsed="false"/>
    <row r="209" customFormat="false" ht="15" hidden="false" customHeight="true" outlineLevel="0" collapsed="false"/>
    <row r="210" customFormat="false" ht="15" hidden="false" customHeight="true" outlineLevel="0" collapsed="false"/>
    <row r="211" customFormat="false" ht="15" hidden="false" customHeight="true" outlineLevel="0" collapsed="false"/>
    <row r="212" customFormat="false" ht="15" hidden="false" customHeight="true" outlineLevel="0" collapsed="false"/>
    <row r="213" customFormat="false" ht="15" hidden="false" customHeight="true" outlineLevel="0" collapsed="false"/>
    <row r="214" customFormat="false" ht="15" hidden="false" customHeight="true" outlineLevel="0" collapsed="false"/>
    <row r="215" customFormat="false" ht="15" hidden="false" customHeight="true" outlineLevel="0" collapsed="false"/>
    <row r="216" customFormat="false" ht="15" hidden="false" customHeight="true" outlineLevel="0" collapsed="false"/>
    <row r="217" customFormat="false" ht="15" hidden="false" customHeight="true" outlineLevel="0" collapsed="false"/>
    <row r="218" customFormat="false" ht="15" hidden="false" customHeight="true" outlineLevel="0" collapsed="false"/>
    <row r="219" customFormat="false" ht="15" hidden="false" customHeight="true" outlineLevel="0" collapsed="false"/>
    <row r="220" customFormat="false" ht="15" hidden="false" customHeight="true" outlineLevel="0" collapsed="false"/>
    <row r="221" customFormat="false" ht="15" hidden="false" customHeight="true" outlineLevel="0" collapsed="false"/>
    <row r="222" customFormat="false" ht="15" hidden="false" customHeight="true" outlineLevel="0" collapsed="false"/>
    <row r="223" customFormat="false" ht="15" hidden="false" customHeight="true" outlineLevel="0" collapsed="false"/>
    <row r="224" customFormat="false" ht="15" hidden="false" customHeight="true" outlineLevel="0" collapsed="false"/>
    <row r="225" customFormat="false" ht="15" hidden="false" customHeight="true" outlineLevel="0" collapsed="false">
      <c r="E225" s="52"/>
    </row>
    <row r="226" customFormat="false" ht="15" hidden="false" customHeight="true" outlineLevel="0" collapsed="false"/>
    <row r="227" customFormat="false" ht="15" hidden="false" customHeight="true" outlineLevel="0" collapsed="false"/>
    <row r="228" customFormat="false" ht="15" hidden="false" customHeight="true" outlineLevel="0" collapsed="false"/>
    <row r="229" customFormat="false" ht="15" hidden="false" customHeight="true" outlineLevel="0" collapsed="false"/>
    <row r="230" customFormat="false" ht="15" hidden="false" customHeight="true" outlineLevel="0" collapsed="false"/>
    <row r="231" customFormat="false" ht="15" hidden="false" customHeight="true" outlineLevel="0" collapsed="false"/>
    <row r="232" customFormat="false" ht="15" hidden="false" customHeight="true" outlineLevel="0" collapsed="false"/>
    <row r="233" customFormat="false" ht="15" hidden="false" customHeight="true" outlineLevel="0" collapsed="false"/>
    <row r="234" customFormat="false" ht="15" hidden="false" customHeight="true" outlineLevel="0" collapsed="false"/>
    <row r="235" customFormat="false" ht="15" hidden="false" customHeight="true" outlineLevel="0" collapsed="false"/>
    <row r="236" customFormat="false" ht="15" hidden="false" customHeight="true" outlineLevel="0" collapsed="false"/>
    <row r="237" customFormat="false" ht="15" hidden="false" customHeight="true" outlineLevel="0" collapsed="false"/>
    <row r="238" customFormat="false" ht="15" hidden="false" customHeight="true" outlineLevel="0" collapsed="false"/>
    <row r="239" customFormat="false" ht="15" hidden="false" customHeight="true" outlineLevel="0" collapsed="false"/>
    <row r="240" customFormat="false" ht="15" hidden="false" customHeight="true" outlineLevel="0" collapsed="false"/>
    <row r="242" customFormat="false" ht="15" hidden="false" customHeight="true" outlineLevel="0" collapsed="false"/>
    <row r="243" customFormat="false" ht="15" hidden="false" customHeight="true" outlineLevel="0" collapsed="false"/>
    <row r="244" customFormat="false" ht="15" hidden="false" customHeight="true" outlineLevel="0" collapsed="false"/>
    <row r="246" customFormat="false" ht="15" hidden="false" customHeight="true" outlineLevel="0" collapsed="false"/>
    <row r="247" customFormat="false" ht="15" hidden="false" customHeight="true" outlineLevel="0" collapsed="false"/>
    <row r="248" customFormat="false" ht="15" hidden="false" customHeight="true" outlineLevel="0" collapsed="false"/>
    <row r="249" customFormat="false" ht="15" hidden="false" customHeight="true" outlineLevel="0" collapsed="false"/>
    <row r="250" customFormat="false" ht="15" hidden="false" customHeight="true" outlineLevel="0" collapsed="false"/>
    <row r="251" customFormat="false" ht="15" hidden="false" customHeight="true" outlineLevel="0" collapsed="false"/>
    <row r="252" customFormat="false" ht="15" hidden="false" customHeight="true" outlineLevel="0" collapsed="false"/>
    <row r="253" customFormat="false" ht="15" hidden="false" customHeight="true" outlineLevel="0" collapsed="false"/>
    <row r="254" customFormat="false" ht="15" hidden="false" customHeight="true" outlineLevel="0" collapsed="false"/>
    <row r="255" customFormat="false" ht="15" hidden="false" customHeight="true" outlineLevel="0" collapsed="false"/>
    <row r="256" customFormat="false" ht="15" hidden="false" customHeight="true" outlineLevel="0" collapsed="false"/>
    <row r="257" customFormat="false" ht="15" hidden="false" customHeight="true" outlineLevel="0" collapsed="false"/>
    <row r="258" customFormat="false" ht="15" hidden="false" customHeight="true" outlineLevel="0" collapsed="false"/>
  </sheetData>
  <mergeCells count="1">
    <mergeCell ref="B1:N1"/>
  </mergeCells>
  <dataValidations count="3">
    <dataValidation allowBlank="false" errorStyle="stop" operator="between" prompt="Select loan structure" promptTitle="Loan Structure" showDropDown="false" showErrorMessage="false" showInputMessage="false" sqref="C36" type="list">
      <formula1>"Interest Only,IO Then Amortizing,Fully Amortizing"</formula1>
      <formula2>0</formula2>
    </dataValidation>
    <dataValidation allowBlank="false" errorStyle="stop" operator="between" showDropDown="false" showErrorMessage="false" showInputMessage="false" sqref="C73" type="list">
      <formula1>"Yes,No"</formula1>
      <formula2>0</formula2>
    </dataValidation>
    <dataValidation allowBlank="false" errorStyle="stop" operator="between" prompt="Select &quot;Yes&quot; to use year-by-year values instead of single growth rates" showDropDown="false" showErrorMessage="false" showInputMessage="false" sqref="H22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87" man="true" max="16383" min="0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F00"/>
    <pageSetUpPr fitToPage="true"/>
  </sheetPr>
  <dimension ref="B1:M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Q18" activeCellId="0" sqref="Q18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13" min="3" style="1" width="14"/>
    <col collapsed="false" customWidth="true" hidden="false" outlineLevel="0" max="14" min="14" style="1" width="3"/>
    <col collapsed="false" customWidth="false" hidden="false" outlineLevel="0" max="16384" min="15" style="1" width="8.67"/>
  </cols>
  <sheetData>
    <row r="1" customFormat="false" ht="15" hidden="false" customHeight="true" outlineLevel="0" collapsed="false">
      <c r="B1" s="53" t="s">
        <v>139</v>
      </c>
    </row>
    <row r="2" customFormat="false" ht="15" hidden="false" customHeight="true" outlineLevel="0" collapsed="false">
      <c r="B2" s="3" t="s">
        <v>140</v>
      </c>
    </row>
    <row r="3" customFormat="false" ht="15" hidden="false" customHeight="true" outlineLevel="0" collapsed="false">
      <c r="B3" s="3" t="s">
        <v>141</v>
      </c>
      <c r="C3" s="54"/>
      <c r="D3" s="54" t="n">
        <f aca="false">C3+1</f>
        <v>1</v>
      </c>
      <c r="E3" s="54" t="n">
        <f aca="false">D3+1</f>
        <v>2</v>
      </c>
      <c r="F3" s="54" t="n">
        <f aca="false">E3+1</f>
        <v>3</v>
      </c>
      <c r="G3" s="54" t="n">
        <f aca="false">F3+1</f>
        <v>4</v>
      </c>
      <c r="H3" s="54" t="n">
        <f aca="false">G3+1</f>
        <v>5</v>
      </c>
      <c r="I3" s="54" t="n">
        <f aca="false">H3+1</f>
        <v>6</v>
      </c>
      <c r="J3" s="54" t="n">
        <f aca="false">I3+1</f>
        <v>7</v>
      </c>
      <c r="K3" s="54" t="n">
        <f aca="false">J3+1</f>
        <v>8</v>
      </c>
      <c r="L3" s="54" t="n">
        <f aca="false">K3+1</f>
        <v>9</v>
      </c>
      <c r="M3" s="54" t="n">
        <f aca="false">L3+1</f>
        <v>10</v>
      </c>
    </row>
    <row r="4" customFormat="false" ht="15" hidden="false" customHeight="true" outlineLevel="0" collapsed="false">
      <c r="B4" s="7"/>
      <c r="C4" s="8" t="s">
        <v>142</v>
      </c>
      <c r="D4" s="8" t="s">
        <v>40</v>
      </c>
      <c r="E4" s="8" t="s">
        <v>41</v>
      </c>
      <c r="F4" s="8" t="s">
        <v>42</v>
      </c>
      <c r="G4" s="8" t="s">
        <v>43</v>
      </c>
      <c r="H4" s="8" t="s">
        <v>44</v>
      </c>
      <c r="I4" s="8" t="s">
        <v>45</v>
      </c>
      <c r="J4" s="8" t="s">
        <v>46</v>
      </c>
      <c r="K4" s="8" t="s">
        <v>47</v>
      </c>
      <c r="L4" s="8" t="s">
        <v>48</v>
      </c>
      <c r="M4" s="8" t="s">
        <v>49</v>
      </c>
    </row>
    <row r="5" customFormat="false" ht="15" hidden="false" customHeight="true" outlineLevel="0" collapsed="false">
      <c r="B5" s="40" t="s">
        <v>143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</row>
    <row r="6" customFormat="false" ht="15" hidden="false" customHeight="true" outlineLevel="0" collapsed="false">
      <c r="B6" s="32" t="s">
        <v>144</v>
      </c>
      <c r="C6" s="46" t="n">
        <f aca="false">Assumptions!$H$33</f>
        <v>0</v>
      </c>
      <c r="D6" s="46" t="str">
        <f aca="false">IF(D$3&gt;Assumptions!$H$15,"",C6*(1+IF(Assumptions!$H$22="Yes",Assumptions!$H$26,Assumptions!$H$16)))</f>
        <v/>
      </c>
      <c r="E6" s="46" t="str">
        <f aca="false">IF(E$3&gt;Assumptions!$H$15,"",D6*(1+IF(Assumptions!$H$22="Yes",Assumptions!$I$26,Assumptions!$H$16)))</f>
        <v/>
      </c>
      <c r="F6" s="46" t="str">
        <f aca="false">IF(F$3&gt;Assumptions!$H$15,"",E6*(1+IF(Assumptions!$H$22="Yes",Assumptions!$J$26,Assumptions!$H$16)))</f>
        <v/>
      </c>
      <c r="G6" s="46" t="str">
        <f aca="false">IF(G$3&gt;Assumptions!$H$15,"",F6*(1+IF(Assumptions!$H$22="Yes",Assumptions!$K$26,Assumptions!$H$16)))</f>
        <v/>
      </c>
      <c r="H6" s="46" t="str">
        <f aca="false">IF(H$3&gt;Assumptions!$H$15,"",G6*(1+IF(Assumptions!$H$22="Yes",Assumptions!$L$26,Assumptions!$H$16)))</f>
        <v/>
      </c>
      <c r="I6" s="46" t="str">
        <f aca="false">IF(I$3&gt;Assumptions!$H$15,"",H6*(1+IF(Assumptions!$H$22="Yes",Assumptions!$M$26,Assumptions!$H$16)))</f>
        <v/>
      </c>
      <c r="J6" s="46" t="str">
        <f aca="false">IF(J$3&gt;Assumptions!$H$15,"",I6*(1+IF(Assumptions!$H$22="Yes",Assumptions!$N$26,Assumptions!$H$16)))</f>
        <v/>
      </c>
      <c r="K6" s="46" t="str">
        <f aca="false">IF(K$3&gt;Assumptions!$H$15,"",J6*(1+IF(Assumptions!$H$22="Yes",Assumptions!$O$26,Assumptions!$H$16)))</f>
        <v/>
      </c>
      <c r="L6" s="46" t="str">
        <f aca="false">IF(L$3&gt;Assumptions!$H$15,"",K6*(1+IF(Assumptions!$H$22="Yes",Assumptions!$P$26,Assumptions!$H$16)))</f>
        <v/>
      </c>
      <c r="M6" s="46" t="str">
        <f aca="false">IF(M$3&gt;Assumptions!$H$15,"",L6*(1+IF(Assumptions!$H$22="Yes",Assumptions!$Q$26,Assumptions!$H$16)))</f>
        <v/>
      </c>
    </row>
    <row r="7" customFormat="false" ht="15.75" hidden="false" customHeight="true" outlineLevel="0" collapsed="false">
      <c r="B7" s="55" t="s">
        <v>145</v>
      </c>
      <c r="C7" s="56" t="s">
        <v>146</v>
      </c>
      <c r="D7" s="57" t="str">
        <f aca="false">IF(D$3&gt;Assumptions!$H$15,"",IF(C6=0,"",(D6-C6)/C6))</f>
        <v/>
      </c>
      <c r="E7" s="57" t="str">
        <f aca="false">IF(E$3&gt;Assumptions!$H$15,"",IF(D6=0,"",(E6-D6)/D6))</f>
        <v/>
      </c>
      <c r="F7" s="57" t="str">
        <f aca="false">IF(F$3&gt;Assumptions!$H$15,"",IF(E6=0,"",(F6-E6)/E6))</f>
        <v/>
      </c>
      <c r="G7" s="57" t="str">
        <f aca="false">IF(G$3&gt;Assumptions!$H$15,"",IF(F6=0,"",(G6-F6)/F6))</f>
        <v/>
      </c>
      <c r="H7" s="57" t="str">
        <f aca="false">IF(H$3&gt;Assumptions!$H$15,"",IF(G6=0,"",(H6-G6)/G6))</f>
        <v/>
      </c>
      <c r="I7" s="57" t="str">
        <f aca="false">IF(I$3&gt;Assumptions!$H$15,"",IF(H6=0,"",(I6-H6)/H6))</f>
        <v/>
      </c>
      <c r="J7" s="57" t="str">
        <f aca="false">IF(J$3&gt;Assumptions!$H$15,"",IF(I6=0,"",(J6-I6)/I6))</f>
        <v/>
      </c>
      <c r="K7" s="57" t="str">
        <f aca="false">IF(K$3&gt;Assumptions!$H$15,"",IF(J6=0,"",(K6-J6)/J6))</f>
        <v/>
      </c>
      <c r="L7" s="57" t="str">
        <f aca="false">IF(L$3&gt;Assumptions!$H$15,"",IF(K6=0,"",(L6-K6)/K6))</f>
        <v/>
      </c>
      <c r="M7" s="57" t="str">
        <f aca="false">IF(M$3&gt;Assumptions!$H$15,"",IF(L6=0,"",(M6-L6)/L6))</f>
        <v/>
      </c>
    </row>
    <row r="8" customFormat="false" ht="15" hidden="false" customHeight="true" outlineLevel="0" collapsed="false">
      <c r="B8" s="32" t="s">
        <v>64</v>
      </c>
      <c r="C8" s="46" t="n">
        <f aca="false">Assumptions!$H$34</f>
        <v>0</v>
      </c>
      <c r="D8" s="46" t="str">
        <f aca="false">IF(D$3&gt;Assumptions!$H$15,"",-D6*(1-IF(Assumptions!$H$22="Yes",Assumptions!$H$27,Assumptions!$H$19)))</f>
        <v/>
      </c>
      <c r="E8" s="46" t="str">
        <f aca="false">IF(E$3&gt;Assumptions!$H$15,"",-E6*(1-IF(Assumptions!$H$22="Yes",Assumptions!$I$27,Assumptions!$H$19)))</f>
        <v/>
      </c>
      <c r="F8" s="46" t="str">
        <f aca="false">IF(F$3&gt;Assumptions!$H$15,"",-F6*(1-IF(Assumptions!$H$22="Yes",Assumptions!$J$27,Assumptions!$H$19)))</f>
        <v/>
      </c>
      <c r="G8" s="46" t="str">
        <f aca="false">IF(G$3&gt;Assumptions!$H$15,"",-G6*(1-IF(Assumptions!$H$22="Yes",Assumptions!$K$27,Assumptions!$H$19)))</f>
        <v/>
      </c>
      <c r="H8" s="46" t="str">
        <f aca="false">IF(H$3&gt;Assumptions!$H$15,"",-H6*(1-IF(Assumptions!$H$22="Yes",Assumptions!$L$27,Assumptions!$H$19)))</f>
        <v/>
      </c>
      <c r="I8" s="46" t="str">
        <f aca="false">IF(I$3&gt;Assumptions!$H$15,"",-I6*(1-IF(Assumptions!$H$22="Yes",Assumptions!$M$27,Assumptions!$H$19)))</f>
        <v/>
      </c>
      <c r="J8" s="46" t="str">
        <f aca="false">IF(J$3&gt;Assumptions!$H$15,"",-J6*(1-IF(Assumptions!$H$22="Yes",Assumptions!$N$27,Assumptions!$H$19)))</f>
        <v/>
      </c>
      <c r="K8" s="46" t="str">
        <f aca="false">IF(K$3&gt;Assumptions!$H$15,"",-K6*(1-IF(Assumptions!$H$22="Yes",Assumptions!$O$27,Assumptions!$H$19)))</f>
        <v/>
      </c>
      <c r="L8" s="46" t="str">
        <f aca="false">IF(L$3&gt;Assumptions!$H$15,"",-L6*(1-IF(Assumptions!$H$22="Yes",Assumptions!$P$27,Assumptions!$H$19)))</f>
        <v/>
      </c>
      <c r="M8" s="46" t="str">
        <f aca="false">IF(M$3&gt;Assumptions!$H$15,"",-M6*(1-IF(Assumptions!$H$22="Yes",Assumptions!$Q$27,Assumptions!$H$19)))</f>
        <v/>
      </c>
    </row>
    <row r="9" customFormat="false" ht="15" hidden="false" customHeight="true" outlineLevel="0" collapsed="false">
      <c r="B9" s="27" t="s">
        <v>66</v>
      </c>
      <c r="C9" s="19" t="n">
        <f aca="false">C6+C8</f>
        <v>0</v>
      </c>
      <c r="D9" s="19" t="str">
        <f aca="false">IF(D$3&gt;Assumptions!$H$15,"",D6+D8)</f>
        <v/>
      </c>
      <c r="E9" s="19" t="str">
        <f aca="false">IF(E$3&gt;Assumptions!$H$15,"",E6+E8)</f>
        <v/>
      </c>
      <c r="F9" s="19" t="str">
        <f aca="false">IF(F$3&gt;Assumptions!$H$15,"",F6+F8)</f>
        <v/>
      </c>
      <c r="G9" s="19" t="str">
        <f aca="false">IF(G$3&gt;Assumptions!$H$15,"",G6+G8)</f>
        <v/>
      </c>
      <c r="H9" s="19" t="str">
        <f aca="false">IF(H$3&gt;Assumptions!$H$15,"",H6+H8)</f>
        <v/>
      </c>
      <c r="I9" s="19" t="str">
        <f aca="false">IF(I$3&gt;Assumptions!$H$15,"",I6+I8)</f>
        <v/>
      </c>
      <c r="J9" s="19" t="str">
        <f aca="false">IF(J$3&gt;Assumptions!$H$15,"",J6+J8)</f>
        <v/>
      </c>
      <c r="K9" s="19" t="str">
        <f aca="false">IF(K$3&gt;Assumptions!$H$15,"",K6+K8)</f>
        <v/>
      </c>
      <c r="L9" s="19" t="str">
        <f aca="false">IF(L$3&gt;Assumptions!$H$15,"",L6+L8)</f>
        <v/>
      </c>
      <c r="M9" s="19" t="str">
        <f aca="false">IF(M$3&gt;Assumptions!$H$15,"",M6+M8)</f>
        <v/>
      </c>
    </row>
    <row r="10" customFormat="false" ht="15" hidden="false" customHeight="true" outlineLevel="0" collapsed="false">
      <c r="B10" s="32" t="s">
        <v>71</v>
      </c>
      <c r="C10" s="46" t="n">
        <f aca="false">Assumptions!$H$37</f>
        <v>0</v>
      </c>
      <c r="D10" s="46" t="str">
        <f aca="false">IF(D$3&gt;Assumptions!$H$15,"",C10*(1+IF(Assumptions!$H$22="Yes",Assumptions!$H$28,Assumptions!$H$18)))</f>
        <v/>
      </c>
      <c r="E10" s="46" t="str">
        <f aca="false">IF(E$3&gt;Assumptions!$H$15,"",D10*(1+IF(Assumptions!$H$22="Yes",Assumptions!$I$28,Assumptions!$H$18)))</f>
        <v/>
      </c>
      <c r="F10" s="46" t="str">
        <f aca="false">IF(F$3&gt;Assumptions!$H$15,"",E10*(1+IF(Assumptions!$H$22="Yes",Assumptions!$J$28,Assumptions!$H$18)))</f>
        <v/>
      </c>
      <c r="G10" s="46" t="str">
        <f aca="false">IF(G$3&gt;Assumptions!$H$15,"",F10*(1+IF(Assumptions!$H$22="Yes",Assumptions!$K$28,Assumptions!$H$18)))</f>
        <v/>
      </c>
      <c r="H10" s="46" t="str">
        <f aca="false">IF(H$3&gt;Assumptions!$H$15,"",G10*(1+IF(Assumptions!$H$22="Yes",Assumptions!$L$28,Assumptions!$H$18)))</f>
        <v/>
      </c>
      <c r="I10" s="46" t="str">
        <f aca="false">IF(I$3&gt;Assumptions!$H$15,"",H10*(1+IF(Assumptions!$H$22="Yes",Assumptions!$M$28,Assumptions!$H$18)))</f>
        <v/>
      </c>
      <c r="J10" s="46" t="str">
        <f aca="false">IF(J$3&gt;Assumptions!$H$15,"",I10*(1+IF(Assumptions!$H$22="Yes",Assumptions!$N$28,Assumptions!$H$18)))</f>
        <v/>
      </c>
      <c r="K10" s="46" t="str">
        <f aca="false">IF(K$3&gt;Assumptions!$H$15,"",J10*(1+IF(Assumptions!$H$22="Yes",Assumptions!$O$28,Assumptions!$H$18)))</f>
        <v/>
      </c>
      <c r="L10" s="46" t="str">
        <f aca="false">IF(L$3&gt;Assumptions!$H$15,"",K10*(1+IF(Assumptions!$H$22="Yes",Assumptions!$P$28,Assumptions!$H$18)))</f>
        <v/>
      </c>
      <c r="M10" s="46" t="str">
        <f aca="false">IF(M$3&gt;Assumptions!$H$15,"",L10*(1+IF(Assumptions!$H$22="Yes",Assumptions!$Q$28,Assumptions!$H$18)))</f>
        <v/>
      </c>
    </row>
    <row r="11" customFormat="false" ht="15" hidden="false" customHeight="true" outlineLevel="0" collapsed="false">
      <c r="B11" s="38" t="s">
        <v>147</v>
      </c>
      <c r="C11" s="39" t="n">
        <f aca="false">C9+C10</f>
        <v>0</v>
      </c>
      <c r="D11" s="39" t="str">
        <f aca="false">IF(D$3&gt;Assumptions!$H$15,"",D9+D10)</f>
        <v/>
      </c>
      <c r="E11" s="39" t="str">
        <f aca="false">IF(E$3&gt;Assumptions!$H$15,"",E9+E10)</f>
        <v/>
      </c>
      <c r="F11" s="39" t="str">
        <f aca="false">IF(F$3&gt;Assumptions!$H$15,"",F9+F10)</f>
        <v/>
      </c>
      <c r="G11" s="39" t="str">
        <f aca="false">IF(G$3&gt;Assumptions!$H$15,"",G9+G10)</f>
        <v/>
      </c>
      <c r="H11" s="39" t="str">
        <f aca="false">IF(H$3&gt;Assumptions!$H$15,"",H9+H10)</f>
        <v/>
      </c>
      <c r="I11" s="39" t="str">
        <f aca="false">IF(I$3&gt;Assumptions!$H$15,"",I9+I10)</f>
        <v/>
      </c>
      <c r="J11" s="39" t="str">
        <f aca="false">IF(J$3&gt;Assumptions!$H$15,"",J9+J10)</f>
        <v/>
      </c>
      <c r="K11" s="39" t="str">
        <f aca="false">IF(K$3&gt;Assumptions!$H$15,"",K9+K10)</f>
        <v/>
      </c>
      <c r="L11" s="39" t="str">
        <f aca="false">IF(L$3&gt;Assumptions!$H$15,"",L9+L10)</f>
        <v/>
      </c>
      <c r="M11" s="39" t="str">
        <f aca="false">IF(M$3&gt;Assumptions!$H$15,"",M9+M10)</f>
        <v/>
      </c>
    </row>
    <row r="13" customFormat="false" ht="15" hidden="false" customHeight="true" outlineLevel="0" collapsed="false">
      <c r="B13" s="40" t="s">
        <v>148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</row>
    <row r="14" customFormat="false" ht="15" hidden="false" customHeight="true" outlineLevel="0" collapsed="false">
      <c r="B14" s="32" t="s">
        <v>81</v>
      </c>
      <c r="C14" s="46" t="n">
        <f aca="false">Assumptions!$H$41</f>
        <v>0</v>
      </c>
      <c r="D14" s="46" t="str">
        <f aca="false">IF(D$3&gt;Assumptions!$H$15,"",C14*(1+IF(Assumptions!$H$22="Yes",Assumptions!$H$29,Assumptions!$H$17)))</f>
        <v/>
      </c>
      <c r="E14" s="46" t="str">
        <f aca="false">IF(E$3&gt;Assumptions!$H$15,"",D14*(1+IF(Assumptions!$H$22="Yes",Assumptions!$I$29,Assumptions!$H$17)))</f>
        <v/>
      </c>
      <c r="F14" s="46" t="str">
        <f aca="false">IF(F$3&gt;Assumptions!$H$15,"",E14*(1+IF(Assumptions!$H$22="Yes",Assumptions!$J$29,Assumptions!$H$17)))</f>
        <v/>
      </c>
      <c r="G14" s="46" t="str">
        <f aca="false">IF(G$3&gt;Assumptions!$H$15,"",F14*(1+IF(Assumptions!$H$22="Yes",Assumptions!$K$29,Assumptions!$H$17)))</f>
        <v/>
      </c>
      <c r="H14" s="46" t="str">
        <f aca="false">IF(H$3&gt;Assumptions!$H$15,"",G14*(1+IF(Assumptions!$H$22="Yes",Assumptions!$L$29,Assumptions!$H$17)))</f>
        <v/>
      </c>
      <c r="I14" s="46" t="str">
        <f aca="false">IF(I$3&gt;Assumptions!$H$15,"",H14*(1+IF(Assumptions!$H$22="Yes",Assumptions!$M$29,Assumptions!$H$17)))</f>
        <v/>
      </c>
      <c r="J14" s="46" t="str">
        <f aca="false">IF(J$3&gt;Assumptions!$H$15,"",I14*(1+IF(Assumptions!$H$22="Yes",Assumptions!$N$29,Assumptions!$H$17)))</f>
        <v/>
      </c>
      <c r="K14" s="46" t="str">
        <f aca="false">IF(K$3&gt;Assumptions!$H$15,"",J14*(1+IF(Assumptions!$H$22="Yes",Assumptions!$O$29,Assumptions!$H$17)))</f>
        <v/>
      </c>
      <c r="L14" s="46" t="str">
        <f aca="false">IF(L$3&gt;Assumptions!$H$15,"",K14*(1+IF(Assumptions!$H$22="Yes",Assumptions!$P$29,Assumptions!$H$17)))</f>
        <v/>
      </c>
      <c r="M14" s="46" t="str">
        <f aca="false">IF(M$3&gt;Assumptions!$H$15,"",L14*(1+IF(Assumptions!$H$22="Yes",Assumptions!$Q$29,Assumptions!$H$17)))</f>
        <v/>
      </c>
    </row>
    <row r="15" customFormat="false" ht="15" hidden="false" customHeight="true" outlineLevel="0" collapsed="false">
      <c r="B15" s="32" t="s">
        <v>83</v>
      </c>
      <c r="C15" s="46" t="n">
        <f aca="false">Assumptions!$H$42</f>
        <v>0</v>
      </c>
      <c r="D15" s="46" t="str">
        <f aca="false">IF(D$3&gt;Assumptions!$H$15,"",C15*(1+IF(Assumptions!$H$22="Yes",Assumptions!$H$29,Assumptions!$H$17)))</f>
        <v/>
      </c>
      <c r="E15" s="46" t="str">
        <f aca="false">IF(E$3&gt;Assumptions!$H$15,"",D15*(1+IF(Assumptions!$H$22="Yes",Assumptions!$I$29,Assumptions!$H$17)))</f>
        <v/>
      </c>
      <c r="F15" s="46" t="str">
        <f aca="false">IF(F$3&gt;Assumptions!$H$15,"",E15*(1+IF(Assumptions!$H$22="Yes",Assumptions!$J$29,Assumptions!$H$17)))</f>
        <v/>
      </c>
      <c r="G15" s="46" t="str">
        <f aca="false">IF(G$3&gt;Assumptions!$H$15,"",F15*(1+IF(Assumptions!$H$22="Yes",Assumptions!$K$29,Assumptions!$H$17)))</f>
        <v/>
      </c>
      <c r="H15" s="46" t="str">
        <f aca="false">IF(H$3&gt;Assumptions!$H$15,"",G15*(1+IF(Assumptions!$H$22="Yes",Assumptions!$L$29,Assumptions!$H$17)))</f>
        <v/>
      </c>
      <c r="I15" s="46" t="str">
        <f aca="false">IF(I$3&gt;Assumptions!$H$15,"",H15*(1+IF(Assumptions!$H$22="Yes",Assumptions!$M$29,Assumptions!$H$17)))</f>
        <v/>
      </c>
      <c r="J15" s="46" t="str">
        <f aca="false">IF(J$3&gt;Assumptions!$H$15,"",I15*(1+IF(Assumptions!$H$22="Yes",Assumptions!$N$29,Assumptions!$H$17)))</f>
        <v/>
      </c>
      <c r="K15" s="46" t="str">
        <f aca="false">IF(K$3&gt;Assumptions!$H$15,"",J15*(1+IF(Assumptions!$H$22="Yes",Assumptions!$O$29,Assumptions!$H$17)))</f>
        <v/>
      </c>
      <c r="L15" s="46" t="str">
        <f aca="false">IF(L$3&gt;Assumptions!$H$15,"",K15*(1+IF(Assumptions!$H$22="Yes",Assumptions!$P$29,Assumptions!$H$17)))</f>
        <v/>
      </c>
      <c r="M15" s="46" t="str">
        <f aca="false">IF(M$3&gt;Assumptions!$H$15,"",L15*(1+IF(Assumptions!$H$22="Yes",Assumptions!$Q$29,Assumptions!$H$17)))</f>
        <v/>
      </c>
    </row>
    <row r="16" customFormat="false" ht="15" hidden="false" customHeight="true" outlineLevel="0" collapsed="false">
      <c r="B16" s="32" t="s">
        <v>85</v>
      </c>
      <c r="C16" s="46" t="n">
        <f aca="false">Assumptions!$H$43</f>
        <v>0</v>
      </c>
      <c r="D16" s="46" t="str">
        <f aca="false">IF(D$3&gt;Assumptions!$H$15,"",C16*(1+IF(Assumptions!$H$22="Yes",Assumptions!$H$29,Assumptions!$H$17)))</f>
        <v/>
      </c>
      <c r="E16" s="46" t="str">
        <f aca="false">IF(E$3&gt;Assumptions!$H$15,"",D16*(1+IF(Assumptions!$H$22="Yes",Assumptions!$I$29,Assumptions!$H$17)))</f>
        <v/>
      </c>
      <c r="F16" s="46" t="str">
        <f aca="false">IF(F$3&gt;Assumptions!$H$15,"",E16*(1+IF(Assumptions!$H$22="Yes",Assumptions!$J$29,Assumptions!$H$17)))</f>
        <v/>
      </c>
      <c r="G16" s="46" t="str">
        <f aca="false">IF(G$3&gt;Assumptions!$H$15,"",F16*(1+IF(Assumptions!$H$22="Yes",Assumptions!$K$29,Assumptions!$H$17)))</f>
        <v/>
      </c>
      <c r="H16" s="46" t="str">
        <f aca="false">IF(H$3&gt;Assumptions!$H$15,"",G16*(1+IF(Assumptions!$H$22="Yes",Assumptions!$L$29,Assumptions!$H$17)))</f>
        <v/>
      </c>
      <c r="I16" s="46" t="str">
        <f aca="false">IF(I$3&gt;Assumptions!$H$15,"",H16*(1+IF(Assumptions!$H$22="Yes",Assumptions!$M$29,Assumptions!$H$17)))</f>
        <v/>
      </c>
      <c r="J16" s="46" t="str">
        <f aca="false">IF(J$3&gt;Assumptions!$H$15,"",I16*(1+IF(Assumptions!$H$22="Yes",Assumptions!$N$29,Assumptions!$H$17)))</f>
        <v/>
      </c>
      <c r="K16" s="46" t="str">
        <f aca="false">IF(K$3&gt;Assumptions!$H$15,"",J16*(1+IF(Assumptions!$H$22="Yes",Assumptions!$O$29,Assumptions!$H$17)))</f>
        <v/>
      </c>
      <c r="L16" s="46" t="str">
        <f aca="false">IF(L$3&gt;Assumptions!$H$15,"",K16*(1+IF(Assumptions!$H$22="Yes",Assumptions!$P$29,Assumptions!$H$17)))</f>
        <v/>
      </c>
      <c r="M16" s="46" t="str">
        <f aca="false">IF(M$3&gt;Assumptions!$H$15,"",L16*(1+IF(Assumptions!$H$22="Yes",Assumptions!$Q$29,Assumptions!$H$17)))</f>
        <v/>
      </c>
    </row>
    <row r="17" customFormat="false" ht="15" hidden="false" customHeight="true" outlineLevel="0" collapsed="false">
      <c r="B17" s="32" t="s">
        <v>86</v>
      </c>
      <c r="C17" s="46" t="n">
        <f aca="false">Assumptions!$H$44</f>
        <v>0</v>
      </c>
      <c r="D17" s="46" t="str">
        <f aca="false">IF(D$3&gt;Assumptions!$H$15,"",C17*(1+IF(Assumptions!$H$22="Yes",Assumptions!$H$29,Assumptions!$H$17)))</f>
        <v/>
      </c>
      <c r="E17" s="46" t="str">
        <f aca="false">IF(E$3&gt;Assumptions!$H$15,"",D17*(1+IF(Assumptions!$H$22="Yes",Assumptions!$I$29,Assumptions!$H$17)))</f>
        <v/>
      </c>
      <c r="F17" s="46" t="str">
        <f aca="false">IF(F$3&gt;Assumptions!$H$15,"",E17*(1+IF(Assumptions!$H$22="Yes",Assumptions!$J$29,Assumptions!$H$17)))</f>
        <v/>
      </c>
      <c r="G17" s="46" t="str">
        <f aca="false">IF(G$3&gt;Assumptions!$H$15,"",F17*(1+IF(Assumptions!$H$22="Yes",Assumptions!$K$29,Assumptions!$H$17)))</f>
        <v/>
      </c>
      <c r="H17" s="46" t="str">
        <f aca="false">IF(H$3&gt;Assumptions!$H$15,"",G17*(1+IF(Assumptions!$H$22="Yes",Assumptions!$L$29,Assumptions!$H$17)))</f>
        <v/>
      </c>
      <c r="I17" s="46" t="str">
        <f aca="false">IF(I$3&gt;Assumptions!$H$15,"",H17*(1+IF(Assumptions!$H$22="Yes",Assumptions!$M$29,Assumptions!$H$17)))</f>
        <v/>
      </c>
      <c r="J17" s="46" t="str">
        <f aca="false">IF(J$3&gt;Assumptions!$H$15,"",I17*(1+IF(Assumptions!$H$22="Yes",Assumptions!$N$29,Assumptions!$H$17)))</f>
        <v/>
      </c>
      <c r="K17" s="46" t="str">
        <f aca="false">IF(K$3&gt;Assumptions!$H$15,"",J17*(1+IF(Assumptions!$H$22="Yes",Assumptions!$O$29,Assumptions!$H$17)))</f>
        <v/>
      </c>
      <c r="L17" s="46" t="str">
        <f aca="false">IF(L$3&gt;Assumptions!$H$15,"",K17*(1+IF(Assumptions!$H$22="Yes",Assumptions!$P$29,Assumptions!$H$17)))</f>
        <v/>
      </c>
      <c r="M17" s="46" t="str">
        <f aca="false">IF(M$3&gt;Assumptions!$H$15,"",L17*(1+IF(Assumptions!$H$22="Yes",Assumptions!$Q$29,Assumptions!$H$17)))</f>
        <v/>
      </c>
    </row>
    <row r="18" customFormat="false" ht="15" hidden="false" customHeight="true" outlineLevel="0" collapsed="false">
      <c r="B18" s="32" t="s">
        <v>88</v>
      </c>
      <c r="C18" s="46" t="n">
        <f aca="false">Assumptions!$H$45</f>
        <v>0</v>
      </c>
      <c r="D18" s="46" t="str">
        <f aca="false">IF(D$3&gt;Assumptions!$H$15,"",C18*(1+IF(Assumptions!$H$22="Yes",Assumptions!$H$29,Assumptions!$H$17)))</f>
        <v/>
      </c>
      <c r="E18" s="46" t="str">
        <f aca="false">IF(E$3&gt;Assumptions!$H$15,"",D18*(1+IF(Assumptions!$H$22="Yes",Assumptions!$I$29,Assumptions!$H$17)))</f>
        <v/>
      </c>
      <c r="F18" s="46" t="str">
        <f aca="false">IF(F$3&gt;Assumptions!$H$15,"",E18*(1+IF(Assumptions!$H$22="Yes",Assumptions!$J$29,Assumptions!$H$17)))</f>
        <v/>
      </c>
      <c r="G18" s="46" t="str">
        <f aca="false">IF(G$3&gt;Assumptions!$H$15,"",F18*(1+IF(Assumptions!$H$22="Yes",Assumptions!$K$29,Assumptions!$H$17)))</f>
        <v/>
      </c>
      <c r="H18" s="46" t="str">
        <f aca="false">IF(H$3&gt;Assumptions!$H$15,"",G18*(1+IF(Assumptions!$H$22="Yes",Assumptions!$L$29,Assumptions!$H$17)))</f>
        <v/>
      </c>
      <c r="I18" s="46" t="str">
        <f aca="false">IF(I$3&gt;Assumptions!$H$15,"",H18*(1+IF(Assumptions!$H$22="Yes",Assumptions!$M$29,Assumptions!$H$17)))</f>
        <v/>
      </c>
      <c r="J18" s="46" t="str">
        <f aca="false">IF(J$3&gt;Assumptions!$H$15,"",I18*(1+IF(Assumptions!$H$22="Yes",Assumptions!$N$29,Assumptions!$H$17)))</f>
        <v/>
      </c>
      <c r="K18" s="46" t="str">
        <f aca="false">IF(K$3&gt;Assumptions!$H$15,"",J18*(1+IF(Assumptions!$H$22="Yes",Assumptions!$O$29,Assumptions!$H$17)))</f>
        <v/>
      </c>
      <c r="L18" s="46" t="str">
        <f aca="false">IF(L$3&gt;Assumptions!$H$15,"",K18*(1+IF(Assumptions!$H$22="Yes",Assumptions!$P$29,Assumptions!$H$17)))</f>
        <v/>
      </c>
      <c r="M18" s="46" t="str">
        <f aca="false">IF(M$3&gt;Assumptions!$H$15,"",L18*(1+IF(Assumptions!$H$22="Yes",Assumptions!$Q$29,Assumptions!$H$17)))</f>
        <v/>
      </c>
    </row>
    <row r="19" customFormat="false" ht="15" hidden="false" customHeight="true" outlineLevel="0" collapsed="false">
      <c r="B19" s="32" t="s">
        <v>90</v>
      </c>
      <c r="C19" s="46" t="n">
        <f aca="false">Assumptions!$H$46</f>
        <v>0</v>
      </c>
      <c r="D19" s="46" t="str">
        <f aca="false">IF(D$3&gt;Assumptions!$H$15,"",C19*(1+IF(Assumptions!$H$22="Yes",Assumptions!$H$29,Assumptions!$H$17)))</f>
        <v/>
      </c>
      <c r="E19" s="46" t="str">
        <f aca="false">IF(E$3&gt;Assumptions!$H$15,"",D19*(1+IF(Assumptions!$H$22="Yes",Assumptions!$I$29,Assumptions!$H$17)))</f>
        <v/>
      </c>
      <c r="F19" s="46" t="str">
        <f aca="false">IF(F$3&gt;Assumptions!$H$15,"",E19*(1+IF(Assumptions!$H$22="Yes",Assumptions!$J$29,Assumptions!$H$17)))</f>
        <v/>
      </c>
      <c r="G19" s="46" t="str">
        <f aca="false">IF(G$3&gt;Assumptions!$H$15,"",F19*(1+IF(Assumptions!$H$22="Yes",Assumptions!$K$29,Assumptions!$H$17)))</f>
        <v/>
      </c>
      <c r="H19" s="46" t="str">
        <f aca="false">IF(H$3&gt;Assumptions!$H$15,"",G19*(1+IF(Assumptions!$H$22="Yes",Assumptions!$L$29,Assumptions!$H$17)))</f>
        <v/>
      </c>
      <c r="I19" s="46" t="str">
        <f aca="false">IF(I$3&gt;Assumptions!$H$15,"",H19*(1+IF(Assumptions!$H$22="Yes",Assumptions!$M$29,Assumptions!$H$17)))</f>
        <v/>
      </c>
      <c r="J19" s="46" t="str">
        <f aca="false">IF(J$3&gt;Assumptions!$H$15,"",I19*(1+IF(Assumptions!$H$22="Yes",Assumptions!$N$29,Assumptions!$H$17)))</f>
        <v/>
      </c>
      <c r="K19" s="46" t="str">
        <f aca="false">IF(K$3&gt;Assumptions!$H$15,"",J19*(1+IF(Assumptions!$H$22="Yes",Assumptions!$O$29,Assumptions!$H$17)))</f>
        <v/>
      </c>
      <c r="L19" s="46" t="str">
        <f aca="false">IF(L$3&gt;Assumptions!$H$15,"",K19*(1+IF(Assumptions!$H$22="Yes",Assumptions!$P$29,Assumptions!$H$17)))</f>
        <v/>
      </c>
      <c r="M19" s="46" t="str">
        <f aca="false">IF(M$3&gt;Assumptions!$H$15,"",L19*(1+IF(Assumptions!$H$22="Yes",Assumptions!$Q$29,Assumptions!$H$17)))</f>
        <v/>
      </c>
    </row>
    <row r="20" customFormat="false" ht="15" hidden="false" customHeight="true" outlineLevel="0" collapsed="false">
      <c r="B20" s="32" t="s">
        <v>92</v>
      </c>
      <c r="C20" s="46" t="n">
        <f aca="false">Assumptions!$H$47</f>
        <v>0</v>
      </c>
      <c r="D20" s="46" t="str">
        <f aca="false">IF(D$3&gt;Assumptions!$H$15,"",C20*(1+IF(Assumptions!$H$22="Yes",Assumptions!$H$29,Assumptions!$H$17)))</f>
        <v/>
      </c>
      <c r="E20" s="46" t="str">
        <f aca="false">IF(E$3&gt;Assumptions!$H$15,"",D20*(1+IF(Assumptions!$H$22="Yes",Assumptions!$I$29,Assumptions!$H$17)))</f>
        <v/>
      </c>
      <c r="F20" s="46" t="str">
        <f aca="false">IF(F$3&gt;Assumptions!$H$15,"",E20*(1+IF(Assumptions!$H$22="Yes",Assumptions!$J$29,Assumptions!$H$17)))</f>
        <v/>
      </c>
      <c r="G20" s="46" t="str">
        <f aca="false">IF(G$3&gt;Assumptions!$H$15,"",F20*(1+IF(Assumptions!$H$22="Yes",Assumptions!$K$29,Assumptions!$H$17)))</f>
        <v/>
      </c>
      <c r="H20" s="46" t="str">
        <f aca="false">IF(H$3&gt;Assumptions!$H$15,"",G20*(1+IF(Assumptions!$H$22="Yes",Assumptions!$L$29,Assumptions!$H$17)))</f>
        <v/>
      </c>
      <c r="I20" s="46" t="str">
        <f aca="false">IF(I$3&gt;Assumptions!$H$15,"",H20*(1+IF(Assumptions!$H$22="Yes",Assumptions!$M$29,Assumptions!$H$17)))</f>
        <v/>
      </c>
      <c r="J20" s="46" t="str">
        <f aca="false">IF(J$3&gt;Assumptions!$H$15,"",I20*(1+IF(Assumptions!$H$22="Yes",Assumptions!$N$29,Assumptions!$H$17)))</f>
        <v/>
      </c>
      <c r="K20" s="46" t="str">
        <f aca="false">IF(K$3&gt;Assumptions!$H$15,"",J20*(1+IF(Assumptions!$H$22="Yes",Assumptions!$O$29,Assumptions!$H$17)))</f>
        <v/>
      </c>
      <c r="L20" s="46" t="str">
        <f aca="false">IF(L$3&gt;Assumptions!$H$15,"",K20*(1+IF(Assumptions!$H$22="Yes",Assumptions!$P$29,Assumptions!$H$17)))</f>
        <v/>
      </c>
      <c r="M20" s="46" t="str">
        <f aca="false">IF(M$3&gt;Assumptions!$H$15,"",L20*(1+IF(Assumptions!$H$22="Yes",Assumptions!$Q$29,Assumptions!$H$17)))</f>
        <v/>
      </c>
    </row>
    <row r="21" customFormat="false" ht="15" hidden="false" customHeight="true" outlineLevel="0" collapsed="false">
      <c r="B21" s="32" t="s">
        <v>93</v>
      </c>
      <c r="C21" s="46" t="n">
        <f aca="false">Assumptions!$H$48</f>
        <v>0</v>
      </c>
      <c r="D21" s="46" t="str">
        <f aca="false">IF(D$3&gt;Assumptions!$H$15,"",C21*(1+IF(Assumptions!$H$22="Yes",Assumptions!$H$29,Assumptions!$H$17)))</f>
        <v/>
      </c>
      <c r="E21" s="46" t="str">
        <f aca="false">IF(E$3&gt;Assumptions!$H$15,"",D21*(1+IF(Assumptions!$H$22="Yes",Assumptions!$I$29,Assumptions!$H$17)))</f>
        <v/>
      </c>
      <c r="F21" s="46" t="str">
        <f aca="false">IF(F$3&gt;Assumptions!$H$15,"",E21*(1+IF(Assumptions!$H$22="Yes",Assumptions!$J$29,Assumptions!$H$17)))</f>
        <v/>
      </c>
      <c r="G21" s="46" t="str">
        <f aca="false">IF(G$3&gt;Assumptions!$H$15,"",F21*(1+IF(Assumptions!$H$22="Yes",Assumptions!$K$29,Assumptions!$H$17)))</f>
        <v/>
      </c>
      <c r="H21" s="46" t="str">
        <f aca="false">IF(H$3&gt;Assumptions!$H$15,"",G21*(1+IF(Assumptions!$H$22="Yes",Assumptions!$L$29,Assumptions!$H$17)))</f>
        <v/>
      </c>
      <c r="I21" s="46" t="str">
        <f aca="false">IF(I$3&gt;Assumptions!$H$15,"",H21*(1+IF(Assumptions!$H$22="Yes",Assumptions!$M$29,Assumptions!$H$17)))</f>
        <v/>
      </c>
      <c r="J21" s="46" t="str">
        <f aca="false">IF(J$3&gt;Assumptions!$H$15,"",I21*(1+IF(Assumptions!$H$22="Yes",Assumptions!$N$29,Assumptions!$H$17)))</f>
        <v/>
      </c>
      <c r="K21" s="46" t="str">
        <f aca="false">IF(K$3&gt;Assumptions!$H$15,"",J21*(1+IF(Assumptions!$H$22="Yes",Assumptions!$O$29,Assumptions!$H$17)))</f>
        <v/>
      </c>
      <c r="L21" s="46" t="str">
        <f aca="false">IF(L$3&gt;Assumptions!$H$15,"",K21*(1+IF(Assumptions!$H$22="Yes",Assumptions!$P$29,Assumptions!$H$17)))</f>
        <v/>
      </c>
      <c r="M21" s="46" t="str">
        <f aca="false">IF(M$3&gt;Assumptions!$H$15,"",L21*(1+IF(Assumptions!$H$22="Yes",Assumptions!$Q$29,Assumptions!$H$17)))</f>
        <v/>
      </c>
    </row>
    <row r="22" customFormat="false" ht="15" hidden="false" customHeight="true" outlineLevel="0" collapsed="false">
      <c r="B22" s="32" t="s">
        <v>95</v>
      </c>
      <c r="C22" s="46" t="n">
        <f aca="false">Assumptions!$H$49</f>
        <v>0</v>
      </c>
      <c r="D22" s="46" t="str">
        <f aca="false">IF(D$3&gt;Assumptions!$H$15,"",C22*(1+IF(Assumptions!$H$22="Yes",Assumptions!$H$29,Assumptions!$H$17)))</f>
        <v/>
      </c>
      <c r="E22" s="46" t="str">
        <f aca="false">IF(E$3&gt;Assumptions!$H$15,"",D22*(1+IF(Assumptions!$H$22="Yes",Assumptions!$I$29,Assumptions!$H$17)))</f>
        <v/>
      </c>
      <c r="F22" s="46" t="str">
        <f aca="false">IF(F$3&gt;Assumptions!$H$15,"",E22*(1+IF(Assumptions!$H$22="Yes",Assumptions!$J$29,Assumptions!$H$17)))</f>
        <v/>
      </c>
      <c r="G22" s="46" t="str">
        <f aca="false">IF(G$3&gt;Assumptions!$H$15,"",F22*(1+IF(Assumptions!$H$22="Yes",Assumptions!$K$29,Assumptions!$H$17)))</f>
        <v/>
      </c>
      <c r="H22" s="46" t="str">
        <f aca="false">IF(H$3&gt;Assumptions!$H$15,"",G22*(1+IF(Assumptions!$H$22="Yes",Assumptions!$L$29,Assumptions!$H$17)))</f>
        <v/>
      </c>
      <c r="I22" s="46" t="str">
        <f aca="false">IF(I$3&gt;Assumptions!$H$15,"",H22*(1+IF(Assumptions!$H$22="Yes",Assumptions!$M$29,Assumptions!$H$17)))</f>
        <v/>
      </c>
      <c r="J22" s="46" t="str">
        <f aca="false">IF(J$3&gt;Assumptions!$H$15,"",I22*(1+IF(Assumptions!$H$22="Yes",Assumptions!$N$29,Assumptions!$H$17)))</f>
        <v/>
      </c>
      <c r="K22" s="46" t="str">
        <f aca="false">IF(K$3&gt;Assumptions!$H$15,"",J22*(1+IF(Assumptions!$H$22="Yes",Assumptions!$O$29,Assumptions!$H$17)))</f>
        <v/>
      </c>
      <c r="L22" s="46" t="str">
        <f aca="false">IF(L$3&gt;Assumptions!$H$15,"",K22*(1+IF(Assumptions!$H$22="Yes",Assumptions!$P$29,Assumptions!$H$17)))</f>
        <v/>
      </c>
      <c r="M22" s="46" t="str">
        <f aca="false">IF(M$3&gt;Assumptions!$H$15,"",L22*(1+IF(Assumptions!$H$22="Yes",Assumptions!$Q$29,Assumptions!$H$17)))</f>
        <v/>
      </c>
    </row>
    <row r="23" customFormat="false" ht="15" hidden="false" customHeight="true" outlineLevel="0" collapsed="false">
      <c r="B23" s="38" t="s">
        <v>96</v>
      </c>
      <c r="C23" s="39" t="n">
        <f aca="false">SUM(C14:C22)</f>
        <v>0</v>
      </c>
      <c r="D23" s="39" t="str">
        <f aca="false">IF(D$3&gt;Assumptions!$H$15,"",SUM(D14:D22))</f>
        <v/>
      </c>
      <c r="E23" s="39" t="str">
        <f aca="false">IF(E$3&gt;Assumptions!$H$15,"",SUM(E14:E22))</f>
        <v/>
      </c>
      <c r="F23" s="39" t="str">
        <f aca="false">IF(F$3&gt;Assumptions!$H$15,"",SUM(F14:F22))</f>
        <v/>
      </c>
      <c r="G23" s="39" t="str">
        <f aca="false">IF(G$3&gt;Assumptions!$H$15,"",SUM(G14:G22))</f>
        <v/>
      </c>
      <c r="H23" s="39" t="str">
        <f aca="false">IF(H$3&gt;Assumptions!$H$15,"",SUM(H14:H22))</f>
        <v/>
      </c>
      <c r="I23" s="39" t="str">
        <f aca="false">IF(I$3&gt;Assumptions!$H$15,"",SUM(I14:I22))</f>
        <v/>
      </c>
      <c r="J23" s="39" t="str">
        <f aca="false">IF(J$3&gt;Assumptions!$H$15,"",SUM(J14:J22))</f>
        <v/>
      </c>
      <c r="K23" s="39" t="str">
        <f aca="false">IF(K$3&gt;Assumptions!$H$15,"",SUM(K14:K22))</f>
        <v/>
      </c>
      <c r="L23" s="39" t="str">
        <f aca="false">IF(L$3&gt;Assumptions!$H$15,"",SUM(L14:L22))</f>
        <v/>
      </c>
      <c r="M23" s="39" t="str">
        <f aca="false">IF(M$3&gt;Assumptions!$H$15,"",SUM(M14:M22))</f>
        <v/>
      </c>
    </row>
    <row r="24" customFormat="false" ht="15.75" hidden="false" customHeight="true" outlineLevel="0" collapsed="false">
      <c r="B24" s="55" t="s">
        <v>149</v>
      </c>
      <c r="C24" s="56" t="s">
        <v>146</v>
      </c>
      <c r="D24" s="57" t="str">
        <f aca="false">IF(D$3&gt;Assumptions!$H$15,"",IF(C23=0,"",(D23-C23)/C23))</f>
        <v/>
      </c>
      <c r="E24" s="57" t="str">
        <f aca="false">IF(E$3&gt;Assumptions!$H$15,"",IF(D23=0,"",(E23-D23)/D23))</f>
        <v/>
      </c>
      <c r="F24" s="57" t="str">
        <f aca="false">IF(F$3&gt;Assumptions!$H$15,"",IF(E23=0,"",(F23-E23)/E23))</f>
        <v/>
      </c>
      <c r="G24" s="57" t="str">
        <f aca="false">IF(G$3&gt;Assumptions!$H$15,"",IF(F23=0,"",(G23-F23)/F23))</f>
        <v/>
      </c>
      <c r="H24" s="57" t="str">
        <f aca="false">IF(H$3&gt;Assumptions!$H$15,"",IF(G23=0,"",(H23-G23)/G23))</f>
        <v/>
      </c>
      <c r="I24" s="57" t="str">
        <f aca="false">IF(I$3&gt;Assumptions!$H$15,"",IF(H23=0,"",(I23-H23)/H23))</f>
        <v/>
      </c>
      <c r="J24" s="57" t="str">
        <f aca="false">IF(J$3&gt;Assumptions!$H$15,"",IF(I23=0,"",(J23-I23)/I23))</f>
        <v/>
      </c>
      <c r="K24" s="57" t="str">
        <f aca="false">IF(K$3&gt;Assumptions!$H$15,"",IF(J23=0,"",(K23-J23)/J23))</f>
        <v/>
      </c>
      <c r="L24" s="57" t="str">
        <f aca="false">IF(L$3&gt;Assumptions!$H$15,"",IF(K23=0,"",(L23-K23)/K23))</f>
        <v/>
      </c>
      <c r="M24" s="57" t="str">
        <f aca="false">IF(M$3&gt;Assumptions!$H$15,"",IF(L23=0,"",(M23-L23)/L23))</f>
        <v/>
      </c>
    </row>
    <row r="25" customFormat="false" ht="15" hidden="false" customHeight="true" outlineLevel="0" collapsed="false">
      <c r="B25" s="55" t="s">
        <v>114</v>
      </c>
      <c r="C25" s="57" t="n">
        <f aca="false">IF(C11=0,0,C23/C11)</f>
        <v>0</v>
      </c>
      <c r="D25" s="57" t="str">
        <f aca="false">IF(D$3&gt;Assumptions!$H$15,"",IF(D11=0,"",D23/D11))</f>
        <v/>
      </c>
      <c r="E25" s="57" t="str">
        <f aca="false">IF(E$3&gt;Assumptions!$H$15,"",IF(E11=0,"",E23/E11))</f>
        <v/>
      </c>
      <c r="F25" s="57" t="str">
        <f aca="false">IF(F$3&gt;Assumptions!$H$15,"",IF(F11=0,"",F23/F11))</f>
        <v/>
      </c>
      <c r="G25" s="57" t="str">
        <f aca="false">IF(G$3&gt;Assumptions!$H$15,"",IF(G11=0,"",G23/G11))</f>
        <v/>
      </c>
      <c r="H25" s="57" t="str">
        <f aca="false">IF(H$3&gt;Assumptions!$H$15,"",IF(H11=0,"",H23/H11))</f>
        <v/>
      </c>
      <c r="I25" s="57" t="str">
        <f aca="false">IF(I$3&gt;Assumptions!$H$15,"",IF(I11=0,"",I23/I11))</f>
        <v/>
      </c>
      <c r="J25" s="57" t="str">
        <f aca="false">IF(J$3&gt;Assumptions!$H$15,"",IF(J11=0,"",J23/J11))</f>
        <v/>
      </c>
      <c r="K25" s="57" t="str">
        <f aca="false">IF(K$3&gt;Assumptions!$H$15,"",IF(K11=0,"",K23/K11))</f>
        <v/>
      </c>
      <c r="L25" s="57" t="str">
        <f aca="false">IF(L$3&gt;Assumptions!$H$15,"",IF(L11=0,"",L23/L11))</f>
        <v/>
      </c>
      <c r="M25" s="57" t="str">
        <f aca="false">IF(M$3&gt;Assumptions!$H$15,"",IF(M11=0,"",M23/M11))</f>
        <v/>
      </c>
    </row>
    <row r="26" customFormat="false" ht="15" hidden="false" customHeight="true" outlineLevel="0" collapsed="false">
      <c r="B26" s="38" t="s">
        <v>99</v>
      </c>
      <c r="C26" s="39" t="n">
        <f aca="false">C11-C23</f>
        <v>0</v>
      </c>
      <c r="D26" s="39" t="str">
        <f aca="false">IF(D$3&gt;Assumptions!$H$15,"",D11-D23)</f>
        <v/>
      </c>
      <c r="E26" s="39" t="str">
        <f aca="false">IF(E$3&gt;Assumptions!$H$15,"",E11-E23)</f>
        <v/>
      </c>
      <c r="F26" s="39" t="str">
        <f aca="false">IF(F$3&gt;Assumptions!$H$15,"",F11-F23)</f>
        <v/>
      </c>
      <c r="G26" s="39" t="str">
        <f aca="false">IF(G$3&gt;Assumptions!$H$15,"",G11-G23)</f>
        <v/>
      </c>
      <c r="H26" s="39" t="str">
        <f aca="false">IF(H$3&gt;Assumptions!$H$15,"",H11-H23)</f>
        <v/>
      </c>
      <c r="I26" s="39" t="str">
        <f aca="false">IF(I$3&gt;Assumptions!$H$15,"",I11-I23)</f>
        <v/>
      </c>
      <c r="J26" s="39" t="str">
        <f aca="false">IF(J$3&gt;Assumptions!$H$15,"",J11-J23)</f>
        <v/>
      </c>
      <c r="K26" s="39" t="str">
        <f aca="false">IF(K$3&gt;Assumptions!$H$15,"",K11-K23)</f>
        <v/>
      </c>
      <c r="L26" s="39" t="str">
        <f aca="false">IF(L$3&gt;Assumptions!$H$15,"",L11-L23)</f>
        <v/>
      </c>
      <c r="M26" s="39" t="str">
        <f aca="false">IF(M$3&gt;Assumptions!$H$15,"",M11-M23)</f>
        <v/>
      </c>
    </row>
    <row r="27" customFormat="false" ht="15.75" hidden="false" customHeight="true" outlineLevel="0" collapsed="false">
      <c r="B27" s="55" t="s">
        <v>150</v>
      </c>
      <c r="C27" s="56" t="s">
        <v>146</v>
      </c>
      <c r="D27" s="57" t="str">
        <f aca="false">IF(D$3&gt;Assumptions!$H$15,"",IF(C26=0,"",(D26-C26)/C26))</f>
        <v/>
      </c>
      <c r="E27" s="57" t="str">
        <f aca="false">IF(E$3&gt;Assumptions!$H$15,"",IF(D26=0,"",(E26-D26)/D26))</f>
        <v/>
      </c>
      <c r="F27" s="57" t="str">
        <f aca="false">IF(F$3&gt;Assumptions!$H$15,"",IF(E26=0,"",(F26-E26)/E26))</f>
        <v/>
      </c>
      <c r="G27" s="57" t="str">
        <f aca="false">IF(G$3&gt;Assumptions!$H$15,"",IF(F26=0,"",(G26-F26)/F26))</f>
        <v/>
      </c>
      <c r="H27" s="57" t="str">
        <f aca="false">IF(H$3&gt;Assumptions!$H$15,"",IF(G26=0,"",(H26-G26)/G26))</f>
        <v/>
      </c>
      <c r="I27" s="57" t="str">
        <f aca="false">IF(I$3&gt;Assumptions!$H$15,"",IF(H26=0,"",(I26-H26)/H26))</f>
        <v/>
      </c>
      <c r="J27" s="57" t="str">
        <f aca="false">IF(J$3&gt;Assumptions!$H$15,"",IF(I26=0,"",(J26-I26)/I26))</f>
        <v/>
      </c>
      <c r="K27" s="57" t="str">
        <f aca="false">IF(K$3&gt;Assumptions!$H$15,"",IF(J26=0,"",(K26-J26)/J26))</f>
        <v/>
      </c>
      <c r="L27" s="57" t="str">
        <f aca="false">IF(L$3&gt;Assumptions!$H$15,"",IF(K26=0,"",(L26-K26)/K26))</f>
        <v/>
      </c>
      <c r="M27" s="57" t="str">
        <f aca="false">IF(M$3&gt;Assumptions!$H$15,"",IF(L26=0,"",(M26-L26)/L26))</f>
        <v/>
      </c>
    </row>
    <row r="28" customFormat="false" ht="15" hidden="false" customHeight="true" outlineLevel="0" collapsed="false">
      <c r="B28" s="55" t="s">
        <v>107</v>
      </c>
      <c r="C28" s="58" t="n">
        <f aca="false">IF(Assumptions!$C$9=0,0,C26/Assumptions!$C$9)</f>
        <v>0</v>
      </c>
      <c r="D28" s="58" t="str">
        <f aca="false">IF(D$3&gt;Assumptions!$H$15,"",D26/Assumptions!$C$9)</f>
        <v/>
      </c>
      <c r="E28" s="58" t="str">
        <f aca="false">IF(E$3&gt;Assumptions!$H$15,"",E26/Assumptions!$C$9)</f>
        <v/>
      </c>
      <c r="F28" s="58" t="str">
        <f aca="false">IF(F$3&gt;Assumptions!$H$15,"",F26/Assumptions!$C$9)</f>
        <v/>
      </c>
      <c r="G28" s="58" t="str">
        <f aca="false">IF(G$3&gt;Assumptions!$H$15,"",G26/Assumptions!$C$9)</f>
        <v/>
      </c>
      <c r="H28" s="58" t="str">
        <f aca="false">IF(H$3&gt;Assumptions!$H$15,"",H26/Assumptions!$C$9)</f>
        <v/>
      </c>
      <c r="I28" s="58" t="str">
        <f aca="false">IF(I$3&gt;Assumptions!$H$15,"",I26/Assumptions!$C$9)</f>
        <v/>
      </c>
      <c r="J28" s="58" t="str">
        <f aca="false">IF(J$3&gt;Assumptions!$H$15,"",J26/Assumptions!$C$9)</f>
        <v/>
      </c>
      <c r="K28" s="58" t="str">
        <f aca="false">IF(K$3&gt;Assumptions!$H$15,"",K26/Assumptions!$C$9)</f>
        <v/>
      </c>
      <c r="L28" s="58" t="str">
        <f aca="false">IF(L$3&gt;Assumptions!$H$15,"",L26/Assumptions!$C$9)</f>
        <v/>
      </c>
      <c r="M28" s="58" t="str">
        <f aca="false">IF(M$3&gt;Assumptions!$H$15,"",M26/Assumptions!$C$9)</f>
        <v/>
      </c>
    </row>
    <row r="29" customFormat="false" ht="15" hidden="false" customHeight="true" outlineLevel="0" collapsed="false">
      <c r="B29" s="9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</row>
    <row r="30" customFormat="false" ht="15" hidden="false" customHeight="true" outlineLevel="0" collapsed="false">
      <c r="B30" s="9" t="s">
        <v>151</v>
      </c>
      <c r="C30" s="59"/>
      <c r="D30" s="19" t="str">
        <f aca="false">IF(D$3&gt;Assumptions!$H$15,"",D26-D35-D36)</f>
        <v/>
      </c>
      <c r="E30" s="19" t="str">
        <f aca="false">IF(E$3&gt;Assumptions!$H$15,"",E26-E35-E36)</f>
        <v/>
      </c>
      <c r="F30" s="19" t="str">
        <f aca="false">IF(F$3&gt;Assumptions!$H$15,"",F26-F35-F36)</f>
        <v/>
      </c>
      <c r="G30" s="19" t="str">
        <f aca="false">IF(G$3&gt;Assumptions!$H$15,"",G26-G35-G36)</f>
        <v/>
      </c>
      <c r="H30" s="19" t="str">
        <f aca="false">IF(H$3&gt;Assumptions!$H$15,"",H26-H35-H36)</f>
        <v/>
      </c>
      <c r="I30" s="19" t="str">
        <f aca="false">IF(I$3&gt;Assumptions!$H$15,"",I26-I35-I36)</f>
        <v/>
      </c>
      <c r="J30" s="19" t="str">
        <f aca="false">IF(J$3&gt;Assumptions!$H$15,"",J26-J35-J36)</f>
        <v/>
      </c>
      <c r="K30" s="19" t="str">
        <f aca="false">IF(K$3&gt;Assumptions!$H$15,"",K26-K35-K36)</f>
        <v/>
      </c>
      <c r="L30" s="19" t="str">
        <f aca="false">IF(L$3&gt;Assumptions!$H$15,"",L26-L35-L36)</f>
        <v/>
      </c>
      <c r="M30" s="19" t="str">
        <f aca="false">IF(M$3&gt;Assumptions!$H$15,"",M26-M35-M36)</f>
        <v/>
      </c>
    </row>
    <row r="31" customFormat="false" ht="15" hidden="false" customHeight="true" outlineLevel="0" collapsed="false">
      <c r="B31" s="40" t="s">
        <v>152</v>
      </c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</row>
    <row r="32" customFormat="false" ht="15" hidden="false" customHeight="true" outlineLevel="0" collapsed="false">
      <c r="B32" s="32" t="s">
        <v>153</v>
      </c>
      <c r="C32" s="59"/>
      <c r="D32" s="46" t="str">
        <f aca="false">IF(D$3&gt;Assumptions!$H$15,"",IF(Assumptions!$C$37=1,Assumptions!$C$46,IF(Assumptions!$C$37=2,Assumptions!$C$47,IF(D$3&lt;=Assumptions!$C$41,Assumptions!$C$46,Assumptions!$C$47))))</f>
        <v/>
      </c>
      <c r="E32" s="46" t="str">
        <f aca="false">IF(E$3&gt;Assumptions!$H$15,"",IF(Assumptions!$C$37=1,Assumptions!$C$46,IF(Assumptions!$C$37=2,Assumptions!$C$47,IF(E$3&lt;=Assumptions!$C$41,Assumptions!$C$46,Assumptions!$C$47))))</f>
        <v/>
      </c>
      <c r="F32" s="46" t="str">
        <f aca="false">IF(F$3&gt;Assumptions!$H$15,"",IF(Assumptions!$C$37=1,Assumptions!$C$46,IF(Assumptions!$C$37=2,Assumptions!$C$47,IF(F$3&lt;=Assumptions!$C$41,Assumptions!$C$46,Assumptions!$C$47))))</f>
        <v/>
      </c>
      <c r="G32" s="46" t="str">
        <f aca="false">IF(G$3&gt;Assumptions!$H$15,"",IF(Assumptions!$C$37=1,Assumptions!$C$46,IF(Assumptions!$C$37=2,Assumptions!$C$47,IF(G$3&lt;=Assumptions!$C$41,Assumptions!$C$46,Assumptions!$C$47))))</f>
        <v/>
      </c>
      <c r="H32" s="46" t="str">
        <f aca="false">IF(H$3&gt;Assumptions!$H$15,"",IF(Assumptions!$C$37=1,Assumptions!$C$46,IF(Assumptions!$C$37=2,Assumptions!$C$47,IF(H$3&lt;=Assumptions!$C$41,Assumptions!$C$46,Assumptions!$C$47))))</f>
        <v/>
      </c>
      <c r="I32" s="46" t="str">
        <f aca="false">IF(I$3&gt;Assumptions!$H$15,"",IF(Assumptions!$C$37=1,Assumptions!$C$46,IF(Assumptions!$C$37=2,Assumptions!$C$47,IF(I$3&lt;=Assumptions!$C$41,Assumptions!$C$46,Assumptions!$C$47))))</f>
        <v/>
      </c>
      <c r="J32" s="46" t="str">
        <f aca="false">IF(J$3&gt;Assumptions!$H$15,"",IF(Assumptions!$C$37=1,Assumptions!$C$46,IF(Assumptions!$C$37=2,Assumptions!$C$47,IF(J$3&lt;=Assumptions!$C$41,Assumptions!$C$46,Assumptions!$C$47))))</f>
        <v/>
      </c>
      <c r="K32" s="46" t="str">
        <f aca="false">IF(K$3&gt;Assumptions!$H$15,"",IF(Assumptions!$C$37=1,Assumptions!$C$46,IF(Assumptions!$C$37=2,Assumptions!$C$47,IF(K$3&lt;=Assumptions!$C$41,Assumptions!$C$46,Assumptions!$C$47))))</f>
        <v/>
      </c>
      <c r="L32" s="46" t="str">
        <f aca="false">IF(L$3&gt;Assumptions!$H$15,"",IF(Assumptions!$C$37=1,Assumptions!$C$46,IF(Assumptions!$C$37=2,Assumptions!$C$47,IF(L$3&lt;=Assumptions!$C$41,Assumptions!$C$46,Assumptions!$C$47))))</f>
        <v/>
      </c>
      <c r="M32" s="46" t="str">
        <f aca="false">IF(M$3&gt;Assumptions!$H$15,"",IF(Assumptions!$C$37=1,Assumptions!$C$46,IF(Assumptions!$C$37=2,Assumptions!$C$47,IF(M$3&lt;=Assumptions!$C$41,Assumptions!$C$46,Assumptions!$C$47))))</f>
        <v/>
      </c>
    </row>
    <row r="33" customFormat="false" ht="15" hidden="false" customHeight="true" outlineLevel="0" collapsed="false">
      <c r="B33" s="32" t="s">
        <v>154</v>
      </c>
      <c r="C33" s="59"/>
      <c r="D33" s="46" t="str">
        <f aca="false">IF(D$3&gt;Assumptions!$H$15,"",Assumptions!$C$58)</f>
        <v/>
      </c>
      <c r="E33" s="46" t="str">
        <f aca="false">IF(E$3&gt;Assumptions!$H$15,"",Assumptions!$C$58)</f>
        <v/>
      </c>
      <c r="F33" s="46" t="str">
        <f aca="false">IF(F$3&gt;Assumptions!$H$15,"",Assumptions!$C$58)</f>
        <v/>
      </c>
      <c r="G33" s="46" t="str">
        <f aca="false">IF(G$3&gt;Assumptions!$H$15,"",Assumptions!$C$58)</f>
        <v/>
      </c>
      <c r="H33" s="46" t="str">
        <f aca="false">IF(H$3&gt;Assumptions!$H$15,"",Assumptions!$C$58)</f>
        <v/>
      </c>
      <c r="I33" s="46" t="str">
        <f aca="false">IF(I$3&gt;Assumptions!$H$15,"",Assumptions!$C$58)</f>
        <v/>
      </c>
      <c r="J33" s="46" t="str">
        <f aca="false">IF(J$3&gt;Assumptions!$H$15,"",Assumptions!$C$58)</f>
        <v/>
      </c>
      <c r="K33" s="46" t="str">
        <f aca="false">IF(K$3&gt;Assumptions!$H$15,"",Assumptions!$C$58)</f>
        <v/>
      </c>
      <c r="L33" s="46" t="str">
        <f aca="false">IF(L$3&gt;Assumptions!$H$15,"",Assumptions!$C$58)</f>
        <v/>
      </c>
      <c r="M33" s="46" t="str">
        <f aca="false">IF(M$3&gt;Assumptions!$H$15,"",Assumptions!$C$58)</f>
        <v/>
      </c>
    </row>
    <row r="34" customFormat="false" ht="15" hidden="false" customHeight="true" outlineLevel="0" collapsed="false">
      <c r="B34" s="27" t="s">
        <v>155</v>
      </c>
      <c r="C34" s="59"/>
      <c r="D34" s="19" t="str">
        <f aca="false">IF(D$3&gt;Assumptions!$H$15,"",D32+D33)</f>
        <v/>
      </c>
      <c r="E34" s="19" t="str">
        <f aca="false">IF(E$3&gt;Assumptions!$H$15,"",E32+E33)</f>
        <v/>
      </c>
      <c r="F34" s="19" t="str">
        <f aca="false">IF(F$3&gt;Assumptions!$H$15,"",F32+F33)</f>
        <v/>
      </c>
      <c r="G34" s="19" t="str">
        <f aca="false">IF(G$3&gt;Assumptions!$H$15,"",G32+G33)</f>
        <v/>
      </c>
      <c r="H34" s="19" t="str">
        <f aca="false">IF(H$3&gt;Assumptions!$H$15,"",H32+H33)</f>
        <v/>
      </c>
      <c r="I34" s="19" t="str">
        <f aca="false">IF(I$3&gt;Assumptions!$H$15,"",I32+I33)</f>
        <v/>
      </c>
      <c r="J34" s="19" t="str">
        <f aca="false">IF(J$3&gt;Assumptions!$H$15,"",J32+J33)</f>
        <v/>
      </c>
      <c r="K34" s="19" t="str">
        <f aca="false">IF(K$3&gt;Assumptions!$H$15,"",K32+K33)</f>
        <v/>
      </c>
      <c r="L34" s="19" t="str">
        <f aca="false">IF(L$3&gt;Assumptions!$H$15,"",L32+L33)</f>
        <v/>
      </c>
      <c r="M34" s="19" t="str">
        <f aca="false">IF(M$3&gt;Assumptions!$H$15,"",M32+M33)</f>
        <v/>
      </c>
    </row>
    <row r="35" customFormat="false" ht="15" hidden="false" customHeight="true" outlineLevel="0" collapsed="false">
      <c r="B35" s="32" t="s">
        <v>156</v>
      </c>
      <c r="C35" s="59"/>
      <c r="D35" s="46" t="str">
        <f aca="false">IF(D$3&gt;Assumptions!$H$15,"",IF(Assumptions!$C$28=1,IF(D$3=1,Assumptions!$C$26,0),Assumptions!$C$26/Assumptions!$H$15))</f>
        <v/>
      </c>
      <c r="E35" s="46" t="str">
        <f aca="false">IF(E$3&gt;Assumptions!$H$15,"",IF(Assumptions!$C$28=1,IF(E$3=1,Assumptions!$C$26,0),Assumptions!$C$26/Assumptions!$H$15))</f>
        <v/>
      </c>
      <c r="F35" s="46" t="str">
        <f aca="false">IF(F$3&gt;Assumptions!$H$15,"",IF(Assumptions!$C$28=1,IF(F$3=1,Assumptions!$C$26,0),Assumptions!$C$26/Assumptions!$H$15))</f>
        <v/>
      </c>
      <c r="G35" s="46" t="str">
        <f aca="false">IF(G$3&gt;Assumptions!$H$15,"",IF(Assumptions!$C$28=1,IF(G$3=1,Assumptions!$C$26,0),Assumptions!$C$26/Assumptions!$H$15))</f>
        <v/>
      </c>
      <c r="H35" s="46" t="str">
        <f aca="false">IF(H$3&gt;Assumptions!$H$15,"",IF(Assumptions!$C$28=1,IF(H$3=1,Assumptions!$C$26,0),Assumptions!$C$26/Assumptions!$H$15))</f>
        <v/>
      </c>
      <c r="I35" s="46" t="str">
        <f aca="false">IF(I$3&gt;Assumptions!$H$15,"",IF(Assumptions!$C$28=1,IF(I$3=1,Assumptions!$C$26,0),Assumptions!$C$26/Assumptions!$H$15))</f>
        <v/>
      </c>
      <c r="J35" s="46" t="str">
        <f aca="false">IF(J$3&gt;Assumptions!$H$15,"",IF(Assumptions!$C$28=1,IF(J$3=1,Assumptions!$C$26,0),Assumptions!$C$26/Assumptions!$H$15))</f>
        <v/>
      </c>
      <c r="K35" s="46" t="str">
        <f aca="false">IF(K$3&gt;Assumptions!$H$15,"",IF(Assumptions!$C$28=1,IF(K$3=1,Assumptions!$C$26,0),Assumptions!$C$26/Assumptions!$H$15))</f>
        <v/>
      </c>
      <c r="L35" s="46" t="str">
        <f aca="false">IF(L$3&gt;Assumptions!$H$15,"",IF(Assumptions!$C$28=1,IF(L$3=1,Assumptions!$C$26,0),Assumptions!$C$26/Assumptions!$H$15))</f>
        <v/>
      </c>
      <c r="M35" s="46" t="str">
        <f aca="false">IF(M$3&gt;Assumptions!$H$15,"",IF(Assumptions!$C$28=1,IF(M$3=1,Assumptions!$C$26,0),Assumptions!$C$26/Assumptions!$H$15))</f>
        <v/>
      </c>
    </row>
    <row r="36" customFormat="false" ht="15" hidden="false" customHeight="true" outlineLevel="0" collapsed="false">
      <c r="B36" s="32" t="s">
        <v>157</v>
      </c>
      <c r="C36" s="59"/>
      <c r="D36" s="46" t="str">
        <f aca="false">IF(D$3&gt;Assumptions!$H$15,"",Assumptions!$C$33)</f>
        <v/>
      </c>
      <c r="E36" s="46" t="str">
        <f aca="false">IF(E$3&gt;Assumptions!$H$15,"",Assumptions!$C$33)</f>
        <v/>
      </c>
      <c r="F36" s="46" t="str">
        <f aca="false">IF(F$3&gt;Assumptions!$H$15,"",Assumptions!$C$33)</f>
        <v/>
      </c>
      <c r="G36" s="46" t="str">
        <f aca="false">IF(G$3&gt;Assumptions!$H$15,"",Assumptions!$C$33)</f>
        <v/>
      </c>
      <c r="H36" s="46" t="str">
        <f aca="false">IF(H$3&gt;Assumptions!$H$15,"",Assumptions!$C$33)</f>
        <v/>
      </c>
      <c r="I36" s="46" t="str">
        <f aca="false">IF(I$3&gt;Assumptions!$H$15,"",Assumptions!$C$33)</f>
        <v/>
      </c>
      <c r="J36" s="46" t="str">
        <f aca="false">IF(J$3&gt;Assumptions!$H$15,"",Assumptions!$C$33)</f>
        <v/>
      </c>
      <c r="K36" s="46" t="str">
        <f aca="false">IF(K$3&gt;Assumptions!$H$15,"",Assumptions!$C$33)</f>
        <v/>
      </c>
      <c r="L36" s="46" t="str">
        <f aca="false">IF(L$3&gt;Assumptions!$H$15,"",Assumptions!$C$33)</f>
        <v/>
      </c>
      <c r="M36" s="46" t="str">
        <f aca="false">IF(M$3&gt;Assumptions!$H$15,"",Assumptions!$C$33)</f>
        <v/>
      </c>
    </row>
    <row r="38" customFormat="false" ht="15" hidden="false" customHeight="true" outlineLevel="0" collapsed="false">
      <c r="B38" s="38" t="s">
        <v>158</v>
      </c>
      <c r="C38" s="39"/>
      <c r="D38" s="39" t="str">
        <f aca="false">IF(D$3&gt;Assumptions!$H$15,"",D26-D34-D35-D36)</f>
        <v/>
      </c>
      <c r="E38" s="39" t="str">
        <f aca="false">IF(E$3&gt;Assumptions!$H$15,"",E26-E34-E35-E36)</f>
        <v/>
      </c>
      <c r="F38" s="39" t="str">
        <f aca="false">IF(F$3&gt;Assumptions!$H$15,"",F26-F34-F35-F36)</f>
        <v/>
      </c>
      <c r="G38" s="39" t="str">
        <f aca="false">IF(G$3&gt;Assumptions!$H$15,"",G26-G34-G35-G36)</f>
        <v/>
      </c>
      <c r="H38" s="39" t="str">
        <f aca="false">IF(H$3&gt;Assumptions!$H$15,"",H26-H34-H35-H36)</f>
        <v/>
      </c>
      <c r="I38" s="39" t="str">
        <f aca="false">IF(I$3&gt;Assumptions!$H$15,"",I26-I34-I35-I36)</f>
        <v/>
      </c>
      <c r="J38" s="39" t="str">
        <f aca="false">IF(J$3&gt;Assumptions!$H$15,"",J26-J34-J35-J36)</f>
        <v/>
      </c>
      <c r="K38" s="39" t="str">
        <f aca="false">IF(K$3&gt;Assumptions!$H$15,"",K26-K34-K35-K36)</f>
        <v/>
      </c>
      <c r="L38" s="39" t="str">
        <f aca="false">IF(L$3&gt;Assumptions!$H$15,"",L26-L34-L35-L36)</f>
        <v/>
      </c>
      <c r="M38" s="39" t="str">
        <f aca="false">IF(M$3&gt;Assumptions!$H$15,"",M26-M34-M35-M36)</f>
        <v/>
      </c>
    </row>
    <row r="39" customFormat="false" ht="15" hidden="false" customHeight="true" outlineLevel="0" collapsed="false">
      <c r="B39" s="55" t="s">
        <v>159</v>
      </c>
      <c r="C39" s="56" t="s">
        <v>146</v>
      </c>
      <c r="D39" s="60" t="str">
        <f aca="false">IF(D$3&gt;Assumptions!$H$15,"",IF(Assumptions!$C$64=0,"",D38/Assumptions!$C$64))</f>
        <v/>
      </c>
      <c r="E39" s="60" t="str">
        <f aca="false">IF(E$3&gt;Assumptions!$H$15,"",IF(Assumptions!$C$64=0,"",E38/Assumptions!$C$64))</f>
        <v/>
      </c>
      <c r="F39" s="60" t="str">
        <f aca="false">IF(F$3&gt;Assumptions!$H$15,"",IF(Assumptions!$C$64=0,"",F38/Assumptions!$C$64))</f>
        <v/>
      </c>
      <c r="G39" s="60" t="str">
        <f aca="false">IF(G$3&gt;Assumptions!$H$15,"",IF(Assumptions!$C$64=0,"",G38/Assumptions!$C$64))</f>
        <v/>
      </c>
      <c r="H39" s="60" t="str">
        <f aca="false">IF(H$3&gt;Assumptions!$H$15,"",IF(Assumptions!$C$64=0,"",H38/Assumptions!$C$64))</f>
        <v/>
      </c>
      <c r="I39" s="60" t="str">
        <f aca="false">IF(I$3&gt;Assumptions!$H$15,"",IF(Assumptions!$C$64=0,"",I38/Assumptions!$C$64))</f>
        <v/>
      </c>
      <c r="J39" s="60" t="str">
        <f aca="false">IF(J$3&gt;Assumptions!$H$15,"",IF(Assumptions!$C$64=0,"",J38/Assumptions!$C$64))</f>
        <v/>
      </c>
      <c r="K39" s="60" t="str">
        <f aca="false">IF(K$3&gt;Assumptions!$H$15,"",IF(Assumptions!$C$64=0,"",K38/Assumptions!$C$64))</f>
        <v/>
      </c>
      <c r="L39" s="60" t="str">
        <f aca="false">IF(L$3&gt;Assumptions!$H$15,"",IF(Assumptions!$C$64=0,"",L38/Assumptions!$C$64))</f>
        <v/>
      </c>
      <c r="M39" s="60" t="str">
        <f aca="false">IF(M$3&gt;Assumptions!$H$15,"",IF(Assumptions!$C$64=0,"",M38/Assumptions!$C$64))</f>
        <v/>
      </c>
    </row>
    <row r="41" customFormat="false" ht="15" hidden="false" customHeight="true" outlineLevel="0" collapsed="false">
      <c r="B41" s="40" t="s">
        <v>160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</row>
    <row r="42" customFormat="false" ht="15" hidden="false" customHeight="true" outlineLevel="0" collapsed="false">
      <c r="B42" s="9" t="s">
        <v>161</v>
      </c>
      <c r="C42" s="56" t="s">
        <v>146</v>
      </c>
      <c r="D42" s="61" t="str">
        <f aca="false">IF(D$3&gt;Assumptions!$H$15,"",IF(D34=0,"",D26/D34))</f>
        <v/>
      </c>
      <c r="E42" s="61" t="str">
        <f aca="false">IF(E$3&gt;Assumptions!$H$15,"",IF(E34=0,"",E26/E34))</f>
        <v/>
      </c>
      <c r="F42" s="61" t="str">
        <f aca="false">IF(F$3&gt;Assumptions!$H$15,"",IF(F34=0,"",F26/F34))</f>
        <v/>
      </c>
      <c r="G42" s="61" t="str">
        <f aca="false">IF(G$3&gt;Assumptions!$H$15,"",IF(G34=0,"",G26/G34))</f>
        <v/>
      </c>
      <c r="H42" s="61" t="str">
        <f aca="false">IF(H$3&gt;Assumptions!$H$15,"",IF(H34=0,"",H26/H34))</f>
        <v/>
      </c>
      <c r="I42" s="61" t="str">
        <f aca="false">IF(I$3&gt;Assumptions!$H$15,"",IF(I34=0,"",I26/I34))</f>
        <v/>
      </c>
      <c r="J42" s="61" t="str">
        <f aca="false">IF(J$3&gt;Assumptions!$H$15,"",IF(J34=0,"",J26/J34))</f>
        <v/>
      </c>
      <c r="K42" s="61" t="str">
        <f aca="false">IF(K$3&gt;Assumptions!$H$15,"",IF(K34=0,"",K26/K34))</f>
        <v/>
      </c>
      <c r="L42" s="61" t="str">
        <f aca="false">IF(L$3&gt;Assumptions!$H$15,"",IF(L34=0,"",L26/L34))</f>
        <v/>
      </c>
      <c r="M42" s="61" t="str">
        <f aca="false">IF(M$3&gt;Assumptions!$H$15,"",IF(M34=0,"",M26/M34))</f>
        <v/>
      </c>
    </row>
    <row r="43" customFormat="false" ht="15" hidden="false" customHeight="true" outlineLevel="0" collapsed="false">
      <c r="B43" s="9" t="s">
        <v>97</v>
      </c>
      <c r="C43" s="56" t="s">
        <v>146</v>
      </c>
      <c r="D43" s="11" t="str">
        <f aca="false">IF(D$3&gt;Assumptions!$H$15,"",IF(Assumptions!$C$39=0,"",D26/Assumptions!$C$39))</f>
        <v/>
      </c>
      <c r="E43" s="11" t="str">
        <f aca="false">IF(E$3&gt;Assumptions!$H$15,"",IF(Assumptions!$C$39=0,"",E26/Assumptions!$C$39))</f>
        <v/>
      </c>
      <c r="F43" s="11" t="str">
        <f aca="false">IF(F$3&gt;Assumptions!$H$15,"",IF(Assumptions!$C$39=0,"",F26/Assumptions!$C$39))</f>
        <v/>
      </c>
      <c r="G43" s="11" t="str">
        <f aca="false">IF(G$3&gt;Assumptions!$H$15,"",IF(Assumptions!$C$39=0,"",G26/Assumptions!$C$39))</f>
        <v/>
      </c>
      <c r="H43" s="11" t="str">
        <f aca="false">IF(H$3&gt;Assumptions!$H$15,"",IF(Assumptions!$C$39=0,"",H26/Assumptions!$C$39))</f>
        <v/>
      </c>
      <c r="I43" s="11" t="str">
        <f aca="false">IF(I$3&gt;Assumptions!$H$15,"",IF(Assumptions!$C$39=0,"",I26/Assumptions!$C$39))</f>
        <v/>
      </c>
      <c r="J43" s="11" t="str">
        <f aca="false">IF(J$3&gt;Assumptions!$H$15,"",IF(Assumptions!$C$39=0,"",J26/Assumptions!$C$39))</f>
        <v/>
      </c>
      <c r="K43" s="11" t="str">
        <f aca="false">IF(K$3&gt;Assumptions!$H$15,"",IF(Assumptions!$C$39=0,"",K26/Assumptions!$C$39))</f>
        <v/>
      </c>
      <c r="L43" s="11" t="str">
        <f aca="false">IF(L$3&gt;Assumptions!$H$15,"",IF(Assumptions!$C$39=0,"",L26/Assumptions!$C$39))</f>
        <v/>
      </c>
      <c r="M43" s="11" t="str">
        <f aca="false">IF(M$3&gt;Assumptions!$H$15,"",IF(Assumptions!$C$39=0,"",M26/Assumptions!$C$39))</f>
        <v/>
      </c>
    </row>
  </sheetData>
  <conditionalFormatting sqref="D42:M42">
    <cfRule type="cellIs" priority="2" operator="lessThan" aboveAverage="0" equalAverage="0" bottom="0" percent="0" rank="0" text="" dxfId="0">
      <formula>1</formula>
    </cfRule>
    <cfRule type="cellIs" priority="3" operator="between" aboveAverage="0" equalAverage="0" bottom="0" percent="0" rank="0" text="" dxfId="1">
      <formula>1</formula>
      <formula>1.25</formula>
    </cfRule>
    <cfRule type="cellIs" priority="4" operator="greaterThan" aboveAverage="0" equalAverage="0" bottom="0" percent="0" rank="0" text="" dxfId="2">
      <formula>1.25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F00"/>
    <pageSetUpPr fitToPage="true"/>
  </sheetPr>
  <dimension ref="B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9" activeCellId="0" sqref="C9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6"/>
    <col collapsed="false" customWidth="true" hidden="false" outlineLevel="0" max="6" min="6" style="1" width="30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3"/>
    <col collapsed="false" customWidth="false" hidden="false" outlineLevel="0" max="16384" min="10" style="1" width="8.67"/>
  </cols>
  <sheetData>
    <row r="1" customFormat="false" ht="15" hidden="false" customHeight="true" outlineLevel="0" collapsed="false">
      <c r="B1" s="62" t="s">
        <v>162</v>
      </c>
      <c r="C1" s="62"/>
      <c r="D1" s="62"/>
      <c r="E1" s="62"/>
      <c r="F1" s="62"/>
      <c r="G1" s="62"/>
      <c r="H1" s="62"/>
    </row>
    <row r="3" customFormat="false" ht="15" hidden="false" customHeight="true" outlineLevel="0" collapsed="false">
      <c r="B3" s="7" t="s">
        <v>163</v>
      </c>
      <c r="C3" s="8" t="s">
        <v>164</v>
      </c>
      <c r="D3" s="8" t="s">
        <v>165</v>
      </c>
      <c r="F3" s="7" t="s">
        <v>166</v>
      </c>
      <c r="G3" s="8" t="s">
        <v>164</v>
      </c>
      <c r="H3" s="8" t="s">
        <v>165</v>
      </c>
    </row>
    <row r="4" customFormat="false" ht="15" hidden="false" customHeight="true" outlineLevel="0" collapsed="false">
      <c r="B4" s="32" t="s">
        <v>115</v>
      </c>
      <c r="C4" s="46" t="n">
        <f aca="false">Assumptions!$C$39</f>
        <v>0</v>
      </c>
      <c r="D4" s="33" t="n">
        <f aca="false">IF(C9=0,0,C4/C9)</f>
        <v>0</v>
      </c>
      <c r="F4" s="32" t="s">
        <v>21</v>
      </c>
      <c r="G4" s="46" t="n">
        <f aca="false">Assumptions!$C$15</f>
        <v>0</v>
      </c>
      <c r="H4" s="33" t="n">
        <f aca="false">IF(G9=0,0,G4/G9)</f>
        <v>0</v>
      </c>
    </row>
    <row r="5" customFormat="false" ht="15" hidden="false" customHeight="true" outlineLevel="0" collapsed="false">
      <c r="B5" s="32" t="s">
        <v>117</v>
      </c>
      <c r="C5" s="46" t="n">
        <f aca="false">Assumptions!$C$62</f>
        <v>0</v>
      </c>
      <c r="D5" s="33" t="n">
        <f aca="false">IF(C9=0,0,C5/C9)</f>
        <v>0</v>
      </c>
      <c r="F5" s="32" t="s">
        <v>167</v>
      </c>
      <c r="G5" s="46" t="n">
        <f aca="false">Assumptions!$C$15*Assumptions!$C$18</f>
        <v>0</v>
      </c>
      <c r="H5" s="33" t="n">
        <f aca="false">IF(G9=0,0,G5/G9)</f>
        <v>0</v>
      </c>
    </row>
    <row r="6" customFormat="false" ht="15" hidden="false" customHeight="true" outlineLevel="0" collapsed="false">
      <c r="B6" s="32" t="s">
        <v>168</v>
      </c>
      <c r="C6" s="46" t="n">
        <f aca="false">Assumptions!$C$77</f>
        <v>0</v>
      </c>
      <c r="D6" s="33" t="n">
        <f aca="false">IF(C9=0,0,C6/C9)</f>
        <v>0</v>
      </c>
      <c r="F6" s="32" t="s">
        <v>169</v>
      </c>
      <c r="G6" s="46" t="n">
        <f aca="false">Assumptions!$C$26</f>
        <v>0</v>
      </c>
      <c r="H6" s="33" t="n">
        <f aca="false">IF(G9=0,0,G6/G9)</f>
        <v>0</v>
      </c>
    </row>
    <row r="7" customFormat="false" ht="15" hidden="false" customHeight="true" outlineLevel="0" collapsed="false">
      <c r="B7" s="32" t="s">
        <v>170</v>
      </c>
      <c r="C7" s="46" t="n">
        <f aca="false">Assumptions!$C$70</f>
        <v>0</v>
      </c>
      <c r="D7" s="33" t="n">
        <f aca="false">IF(C9=0,0,C7/C9)</f>
        <v>0</v>
      </c>
      <c r="F7" s="32" t="s">
        <v>171</v>
      </c>
      <c r="G7" s="46" t="n">
        <f aca="false">Assumptions!$C$33</f>
        <v>0</v>
      </c>
      <c r="H7" s="33" t="n">
        <f aca="false">IF(G9=0,0,G7/G9)</f>
        <v>0</v>
      </c>
    </row>
    <row r="8" customFormat="false" ht="15" hidden="false" customHeight="true" outlineLevel="0" collapsed="false">
      <c r="B8" s="32" t="s">
        <v>172</v>
      </c>
      <c r="C8" s="46" t="n">
        <f aca="false">Assumptions!$C$64-Assumptions!$C$70</f>
        <v>0</v>
      </c>
      <c r="D8" s="33" t="n">
        <f aca="false">IF(C9=0,0,C8/C9)</f>
        <v>0</v>
      </c>
      <c r="F8" s="32"/>
      <c r="G8" s="46"/>
      <c r="H8" s="33"/>
    </row>
    <row r="9" customFormat="false" ht="15" hidden="false" customHeight="true" outlineLevel="0" collapsed="false">
      <c r="B9" s="38" t="s">
        <v>173</v>
      </c>
      <c r="C9" s="39" t="n">
        <f aca="false">SUM(C4:C8)</f>
        <v>0</v>
      </c>
      <c r="D9" s="45" t="n">
        <f aca="false">IF(C9=0,0,1)</f>
        <v>0</v>
      </c>
      <c r="F9" s="38" t="s">
        <v>174</v>
      </c>
      <c r="G9" s="39" t="n">
        <f aca="false">SUM(G4:G7)</f>
        <v>0</v>
      </c>
      <c r="H9" s="45" t="n">
        <f aca="false">IF(G9=0,0,1)</f>
        <v>0</v>
      </c>
    </row>
    <row r="10" customFormat="false" ht="15.75" hidden="false" customHeight="true" outlineLevel="0" collapsed="false"/>
    <row r="11" customFormat="false" ht="15" hidden="false" customHeight="true" outlineLevel="0" collapsed="false">
      <c r="B11" s="63" t="s">
        <v>175</v>
      </c>
      <c r="C11" s="64" t="n">
        <f aca="false">C9-G9</f>
        <v>0</v>
      </c>
      <c r="D11" s="65"/>
      <c r="E11" s="65"/>
      <c r="F11" s="65"/>
      <c r="G11" s="66" t="str">
        <f aca="false">IF(ABS(C9-G9)&lt;1,"BALANCED","IMBALANCED")</f>
        <v>BALANCED</v>
      </c>
      <c r="H11" s="65"/>
    </row>
  </sheetData>
  <mergeCells count="1">
    <mergeCell ref="B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F00"/>
    <pageSetUpPr fitToPage="false"/>
  </sheetPr>
  <dimension ref="B1:K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19" activePane="bottomRight" state="frozen"/>
      <selection pane="topLeft" activeCell="A1" activeCellId="0" sqref="A1"/>
      <selection pane="topRight" activeCell="C1" activeCellId="0" sqref="C1"/>
      <selection pane="bottomLeft" activeCell="A19" activeCellId="0" sqref="A19"/>
      <selection pane="bottomRight" activeCell="B10" activeCellId="0" sqref="B10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11" min="3" style="1" width="16"/>
    <col collapsed="false" customWidth="true" hidden="false" outlineLevel="0" max="13" min="13" style="1" width="3"/>
    <col collapsed="false" customWidth="false" hidden="false" outlineLevel="0" max="16384" min="14" style="1" width="8.67"/>
  </cols>
  <sheetData>
    <row r="1" s="1" customFormat="true" ht="15" hidden="false" customHeight="true" outlineLevel="0" collapsed="false">
      <c r="B1" s="67" t="s">
        <v>176</v>
      </c>
    </row>
    <row r="2" s="1" customFormat="true" ht="15" hidden="false" customHeight="true" outlineLevel="0" collapsed="false">
      <c r="B2" s="51" t="s">
        <v>1</v>
      </c>
    </row>
    <row r="3" s="1" customFormat="true" ht="15" hidden="false" customHeight="true" outlineLevel="0" collapsed="false"/>
    <row r="4" s="1" customFormat="true" ht="15" hidden="false" customHeight="true" outlineLevel="0" collapsed="false">
      <c r="B4" s="7" t="s">
        <v>177</v>
      </c>
      <c r="C4" s="7"/>
      <c r="D4" s="7"/>
      <c r="E4" s="7"/>
      <c r="F4" s="7"/>
      <c r="G4" s="7"/>
      <c r="H4" s="7"/>
      <c r="I4" s="7"/>
      <c r="J4" s="7"/>
      <c r="K4" s="7"/>
    </row>
    <row r="5" s="1" customFormat="true" ht="15" hidden="false" customHeight="true" outlineLevel="0" collapsed="false">
      <c r="B5" s="7"/>
      <c r="C5" s="8" t="s">
        <v>178</v>
      </c>
      <c r="D5" s="8" t="s">
        <v>179</v>
      </c>
      <c r="E5" s="8" t="s">
        <v>180</v>
      </c>
      <c r="F5" s="8" t="s">
        <v>181</v>
      </c>
      <c r="G5" s="8" t="s">
        <v>182</v>
      </c>
      <c r="H5" s="8" t="s">
        <v>183</v>
      </c>
      <c r="I5" s="8" t="s">
        <v>184</v>
      </c>
      <c r="J5" s="8" t="s">
        <v>185</v>
      </c>
      <c r="K5" s="8" t="s">
        <v>186</v>
      </c>
    </row>
    <row r="6" s="1" customFormat="true" ht="18" hidden="false" customHeight="true" outlineLevel="0" collapsed="false">
      <c r="B6" s="9" t="s">
        <v>4</v>
      </c>
      <c r="C6" s="68" t="n">
        <f aca="false">Assumptions!$C$5</f>
        <v>0</v>
      </c>
      <c r="D6" s="69"/>
      <c r="E6" s="69"/>
      <c r="F6" s="69"/>
      <c r="G6" s="69"/>
      <c r="H6" s="69"/>
      <c r="I6" s="69"/>
      <c r="J6" s="69"/>
      <c r="K6" s="69"/>
    </row>
    <row r="7" s="1" customFormat="true" ht="15" hidden="false" customHeight="true" outlineLevel="0" collapsed="false">
      <c r="B7" s="9" t="s">
        <v>6</v>
      </c>
      <c r="C7" s="68" t="n">
        <f aca="false">Assumptions!$C$6</f>
        <v>0</v>
      </c>
      <c r="D7" s="69"/>
      <c r="E7" s="69"/>
      <c r="F7" s="69"/>
      <c r="G7" s="69"/>
      <c r="H7" s="69"/>
      <c r="I7" s="69"/>
      <c r="J7" s="69"/>
      <c r="K7" s="69"/>
    </row>
    <row r="8" s="1" customFormat="true" ht="15" hidden="false" customHeight="true" outlineLevel="0" collapsed="false">
      <c r="B8" s="9" t="s">
        <v>8</v>
      </c>
      <c r="C8" s="68" t="n">
        <f aca="false">Assumptions!$C$7</f>
        <v>0</v>
      </c>
      <c r="D8" s="69"/>
      <c r="E8" s="69"/>
      <c r="F8" s="69"/>
      <c r="G8" s="69"/>
      <c r="H8" s="69"/>
      <c r="I8" s="69"/>
      <c r="J8" s="69"/>
      <c r="K8" s="69"/>
    </row>
    <row r="9" s="1" customFormat="true" ht="15" hidden="false" customHeight="true" outlineLevel="0" collapsed="false">
      <c r="B9" s="9" t="s">
        <v>187</v>
      </c>
      <c r="C9" s="56" t="s">
        <v>146</v>
      </c>
      <c r="D9" s="70"/>
      <c r="E9" s="70"/>
      <c r="F9" s="70"/>
      <c r="G9" s="70"/>
      <c r="H9" s="70"/>
      <c r="I9" s="70"/>
      <c r="J9" s="70"/>
      <c r="K9" s="70"/>
    </row>
    <row r="10" s="1" customFormat="true" ht="15" hidden="false" customHeight="true" outlineLevel="0" collapsed="false">
      <c r="B10" s="9" t="s">
        <v>12</v>
      </c>
      <c r="C10" s="71" t="n">
        <f aca="false">Assumptions!$C$9</f>
        <v>0</v>
      </c>
      <c r="D10" s="13"/>
      <c r="E10" s="13"/>
      <c r="F10" s="13"/>
      <c r="G10" s="13"/>
      <c r="H10" s="13"/>
      <c r="I10" s="13"/>
      <c r="J10" s="13"/>
      <c r="K10" s="13"/>
    </row>
    <row r="11" s="1" customFormat="true" ht="15" hidden="false" customHeight="true" outlineLevel="0" collapsed="false">
      <c r="B11" s="9" t="s">
        <v>188</v>
      </c>
      <c r="C11" s="71" t="n">
        <f aca="false">Assumptions!$C$10</f>
        <v>0</v>
      </c>
      <c r="D11" s="13"/>
      <c r="E11" s="13"/>
      <c r="F11" s="13"/>
      <c r="G11" s="13"/>
      <c r="H11" s="13"/>
      <c r="I11" s="13"/>
      <c r="J11" s="13"/>
      <c r="K11" s="13"/>
    </row>
    <row r="12" s="1" customFormat="true" ht="15" hidden="false" customHeight="true" outlineLevel="0" collapsed="false">
      <c r="B12" s="9" t="s">
        <v>16</v>
      </c>
      <c r="C12" s="72" t="n">
        <f aca="false">Assumptions!$C$11</f>
        <v>0</v>
      </c>
      <c r="D12" s="14"/>
      <c r="E12" s="14"/>
      <c r="F12" s="14"/>
      <c r="G12" s="14"/>
      <c r="H12" s="14"/>
      <c r="I12" s="14"/>
      <c r="J12" s="14"/>
      <c r="K12" s="14"/>
    </row>
    <row r="13" s="1" customFormat="true" ht="15" hidden="false" customHeight="true" outlineLevel="0" collapsed="false">
      <c r="B13" s="9" t="s">
        <v>18</v>
      </c>
      <c r="C13" s="72" t="n">
        <f aca="false">Assumptions!$C$12</f>
        <v>0</v>
      </c>
      <c r="D13" s="14"/>
      <c r="E13" s="14"/>
      <c r="F13" s="14"/>
      <c r="G13" s="14"/>
      <c r="H13" s="14"/>
      <c r="I13" s="14"/>
      <c r="J13" s="14"/>
      <c r="K13" s="14"/>
    </row>
    <row r="14" s="1" customFormat="true" ht="15" hidden="false" customHeight="true" outlineLevel="0" collapsed="false">
      <c r="B14" s="9" t="s">
        <v>189</v>
      </c>
      <c r="C14" s="46" t="str">
        <f aca="false">IFERROR(Assumptions!$H$33/12/Assumptions!$C$9,"")</f>
        <v/>
      </c>
      <c r="D14" s="14"/>
      <c r="E14" s="14"/>
      <c r="F14" s="14"/>
      <c r="G14" s="14"/>
      <c r="H14" s="14"/>
      <c r="I14" s="14"/>
      <c r="J14" s="14"/>
      <c r="K14" s="14"/>
    </row>
    <row r="15" s="1" customFormat="true" ht="15" hidden="false" customHeight="true" outlineLevel="0" collapsed="false"/>
    <row r="16" s="1" customFormat="true" ht="15" hidden="false" customHeight="true" outlineLevel="0" collapsed="false">
      <c r="B16" s="73" t="s">
        <v>190</v>
      </c>
      <c r="C16" s="73"/>
      <c r="D16" s="73"/>
      <c r="E16" s="73"/>
      <c r="F16" s="73"/>
      <c r="G16" s="73"/>
      <c r="H16" s="73"/>
      <c r="I16" s="73"/>
      <c r="J16" s="73"/>
      <c r="K16" s="73"/>
    </row>
    <row r="17" s="1" customFormat="true" ht="15" hidden="false" customHeight="true" outlineLevel="0" collapsed="false">
      <c r="B17" s="9" t="s">
        <v>191</v>
      </c>
      <c r="C17" s="13"/>
      <c r="D17" s="13"/>
      <c r="E17" s="13"/>
      <c r="F17" s="13"/>
      <c r="G17" s="13"/>
      <c r="H17" s="13"/>
      <c r="I17" s="13"/>
      <c r="J17" s="13"/>
      <c r="K17" s="13"/>
    </row>
    <row r="18" s="1" customFormat="true" ht="15" hidden="false" customHeight="true" outlineLevel="0" collapsed="false">
      <c r="B18" s="9" t="s">
        <v>192</v>
      </c>
      <c r="C18" s="13"/>
      <c r="D18" s="13"/>
      <c r="E18" s="13"/>
      <c r="F18" s="13"/>
      <c r="G18" s="13"/>
      <c r="H18" s="13"/>
      <c r="I18" s="13"/>
      <c r="J18" s="13"/>
      <c r="K18" s="13"/>
    </row>
    <row r="19" s="1" customFormat="true" ht="15" hidden="false" customHeight="true" outlineLevel="0" collapsed="false">
      <c r="B19" s="9" t="s">
        <v>193</v>
      </c>
      <c r="C19" s="13"/>
      <c r="D19" s="13"/>
      <c r="E19" s="13"/>
      <c r="F19" s="13"/>
      <c r="G19" s="13"/>
      <c r="H19" s="13"/>
      <c r="I19" s="13"/>
      <c r="J19" s="13"/>
      <c r="K19" s="13"/>
    </row>
    <row r="20" s="1" customFormat="true" ht="15" hidden="false" customHeight="true" outlineLevel="0" collapsed="false">
      <c r="B20" s="9" t="s">
        <v>194</v>
      </c>
      <c r="C20" s="13"/>
      <c r="D20" s="13"/>
      <c r="E20" s="13"/>
      <c r="F20" s="13"/>
      <c r="G20" s="13"/>
      <c r="H20" s="13"/>
      <c r="I20" s="13"/>
      <c r="J20" s="13"/>
      <c r="K20" s="13"/>
    </row>
    <row r="21" s="1" customFormat="true" ht="15" hidden="false" customHeight="true" outlineLevel="0" collapsed="false">
      <c r="B21" s="9" t="s">
        <v>195</v>
      </c>
      <c r="C21" s="13"/>
      <c r="D21" s="13"/>
      <c r="E21" s="13"/>
      <c r="F21" s="13"/>
      <c r="G21" s="13"/>
      <c r="H21" s="13"/>
      <c r="I21" s="13"/>
      <c r="J21" s="13"/>
      <c r="K21" s="13"/>
    </row>
    <row r="22" s="1" customFormat="true" ht="15" hidden="false" customHeight="true" outlineLevel="0" collapsed="false">
      <c r="B22" s="27" t="s">
        <v>196</v>
      </c>
      <c r="C22" s="74" t="n">
        <f aca="false">SUM(C17:C21)</f>
        <v>0</v>
      </c>
      <c r="D22" s="74" t="n">
        <f aca="false">SUM(D17:D21)</f>
        <v>0</v>
      </c>
      <c r="E22" s="74" t="n">
        <f aca="false">SUM(E17:E21)</f>
        <v>0</v>
      </c>
      <c r="F22" s="74" t="n">
        <f aca="false">SUM(F17:F21)</f>
        <v>0</v>
      </c>
      <c r="G22" s="74" t="n">
        <f aca="false">SUM(G17:G21)</f>
        <v>0</v>
      </c>
      <c r="H22" s="74" t="n">
        <f aca="false">SUM(H17:H21)</f>
        <v>0</v>
      </c>
      <c r="I22" s="74" t="n">
        <f aca="false">SUM(I17:I21)</f>
        <v>0</v>
      </c>
      <c r="J22" s="74" t="n">
        <f aca="false">SUM(J17:J21)</f>
        <v>0</v>
      </c>
      <c r="K22" s="74" t="n">
        <f aca="false">SUM(K17:K21)</f>
        <v>0</v>
      </c>
    </row>
    <row r="23" s="1" customFormat="true" ht="15" hidden="false" customHeight="true" outlineLevel="0" collapsed="false"/>
    <row r="24" s="1" customFormat="true" ht="15" hidden="false" customHeight="true" outlineLevel="0" collapsed="false">
      <c r="B24" s="73" t="s">
        <v>197</v>
      </c>
      <c r="C24" s="73"/>
      <c r="D24" s="73"/>
      <c r="E24" s="73"/>
      <c r="F24" s="73"/>
      <c r="G24" s="73"/>
      <c r="H24" s="73"/>
      <c r="I24" s="73"/>
      <c r="J24" s="73"/>
      <c r="K24" s="73"/>
    </row>
    <row r="25" s="1" customFormat="true" ht="15" hidden="false" customHeight="true" outlineLevel="0" collapsed="false">
      <c r="B25" s="9" t="s">
        <v>198</v>
      </c>
      <c r="C25" s="18"/>
      <c r="D25" s="18"/>
      <c r="E25" s="18"/>
      <c r="F25" s="18"/>
      <c r="G25" s="18"/>
      <c r="H25" s="18"/>
      <c r="I25" s="18"/>
      <c r="J25" s="18"/>
      <c r="K25" s="18"/>
    </row>
    <row r="26" s="1" customFormat="true" ht="15" hidden="false" customHeight="true" outlineLevel="0" collapsed="false">
      <c r="B26" s="9" t="s">
        <v>199</v>
      </c>
      <c r="C26" s="18"/>
      <c r="D26" s="18"/>
      <c r="E26" s="18"/>
      <c r="F26" s="18"/>
      <c r="G26" s="18"/>
      <c r="H26" s="18"/>
      <c r="I26" s="18"/>
      <c r="J26" s="18"/>
      <c r="K26" s="18"/>
    </row>
    <row r="27" s="1" customFormat="true" ht="15" hidden="false" customHeight="true" outlineLevel="0" collapsed="false">
      <c r="B27" s="9" t="s">
        <v>200</v>
      </c>
      <c r="C27" s="18"/>
      <c r="D27" s="18"/>
      <c r="E27" s="18"/>
      <c r="F27" s="18"/>
      <c r="G27" s="18"/>
      <c r="H27" s="18"/>
      <c r="I27" s="18"/>
      <c r="J27" s="18"/>
      <c r="K27" s="18"/>
    </row>
    <row r="28" s="1" customFormat="true" ht="15" hidden="false" customHeight="true" outlineLevel="0" collapsed="false">
      <c r="B28" s="9" t="s">
        <v>201</v>
      </c>
      <c r="C28" s="18"/>
      <c r="D28" s="18"/>
      <c r="E28" s="18"/>
      <c r="F28" s="18"/>
      <c r="G28" s="18"/>
      <c r="H28" s="18"/>
      <c r="I28" s="18"/>
      <c r="J28" s="18"/>
      <c r="K28" s="18"/>
    </row>
    <row r="29" s="1" customFormat="true" ht="15" hidden="false" customHeight="true" outlineLevel="0" collapsed="false">
      <c r="B29" s="9" t="s">
        <v>202</v>
      </c>
      <c r="C29" s="18"/>
      <c r="D29" s="18"/>
      <c r="E29" s="18"/>
      <c r="F29" s="18"/>
      <c r="G29" s="18"/>
      <c r="H29" s="18"/>
      <c r="I29" s="18"/>
      <c r="J29" s="18"/>
      <c r="K29" s="18"/>
    </row>
    <row r="30" s="1" customFormat="true" ht="15" hidden="false" customHeight="true" outlineLevel="0" collapsed="false">
      <c r="B30" s="75" t="s">
        <v>203</v>
      </c>
      <c r="C30" s="76" t="str">
        <f aca="false">IFERROR(SUMPRODUCT(C25:C29,C$17:C$21)/SUM(C$17:C$21),"")</f>
        <v/>
      </c>
      <c r="D30" s="76" t="str">
        <f aca="false">IFERROR(SUMPRODUCT(D25:D29,D$17:D$21)/SUM(D$17:D$21),"")</f>
        <v/>
      </c>
      <c r="E30" s="76" t="str">
        <f aca="false">IFERROR(SUMPRODUCT(E25:E29,E$17:E$21)/SUM(E$17:E$21),"")</f>
        <v/>
      </c>
      <c r="F30" s="76" t="str">
        <f aca="false">IFERROR(SUMPRODUCT(F25:F29,F$17:F$21)/SUM(F$17:F$21),"")</f>
        <v/>
      </c>
      <c r="G30" s="76" t="str">
        <f aca="false">IFERROR(SUMPRODUCT(G25:G29,G$17:G$21)/SUM(G$17:G$21),"")</f>
        <v/>
      </c>
      <c r="H30" s="76" t="str">
        <f aca="false">IFERROR(SUMPRODUCT(H25:H29,H$17:H$21)/SUM(H$17:H$21),"")</f>
        <v/>
      </c>
      <c r="I30" s="76" t="str">
        <f aca="false">IFERROR(SUMPRODUCT(I25:I29,I$17:I$21)/SUM(I$17:I$21),"")</f>
        <v/>
      </c>
      <c r="J30" s="76" t="str">
        <f aca="false">IFERROR(SUMPRODUCT(J25:J29,J$17:J$21)/SUM(J$17:J$21),"")</f>
        <v/>
      </c>
      <c r="K30" s="76" t="str">
        <f aca="false">IFERROR(SUMPRODUCT(K25:K29,K$17:K$21)/SUM(K$17:K$21),"")</f>
        <v/>
      </c>
    </row>
    <row r="31" s="1" customFormat="true" ht="15" hidden="false" customHeight="true" outlineLevel="0" collapsed="false"/>
    <row r="32" s="1" customFormat="true" ht="15" hidden="false" customHeight="true" outlineLevel="0" collapsed="false"/>
    <row r="33" s="1" customFormat="true" ht="15" hidden="false" customHeight="true" outlineLevel="0" collapsed="false">
      <c r="B33" s="73" t="s">
        <v>204</v>
      </c>
      <c r="C33" s="73"/>
      <c r="D33" s="73"/>
      <c r="E33" s="73"/>
      <c r="F33" s="73"/>
      <c r="G33" s="73"/>
      <c r="H33" s="73"/>
      <c r="I33" s="73"/>
      <c r="J33" s="73"/>
      <c r="K33" s="73"/>
    </row>
    <row r="34" s="1" customFormat="true" ht="15" hidden="false" customHeight="true" outlineLevel="0" collapsed="false">
      <c r="B34" s="9" t="s">
        <v>53</v>
      </c>
      <c r="C34" s="77" t="n">
        <f aca="false">Assumptions!$H$19</f>
        <v>0</v>
      </c>
      <c r="D34" s="20"/>
      <c r="E34" s="20"/>
      <c r="F34" s="20"/>
      <c r="G34" s="20"/>
      <c r="H34" s="20"/>
      <c r="I34" s="20"/>
      <c r="J34" s="20"/>
      <c r="K34" s="20"/>
    </row>
    <row r="35" s="1" customFormat="true" ht="15" hidden="false" customHeight="true" outlineLevel="0" collapsed="false">
      <c r="B35" s="9" t="s">
        <v>205</v>
      </c>
      <c r="C35" s="33" t="str">
        <f aca="false">IF(C34="","",1-C34)</f>
        <v/>
      </c>
      <c r="D35" s="33" t="str">
        <f aca="false">IF(D34="","",1-D34)</f>
        <v/>
      </c>
      <c r="E35" s="33" t="str">
        <f aca="false">IF(E34="","",1-E34)</f>
        <v/>
      </c>
      <c r="F35" s="33" t="str">
        <f aca="false">IF(F34="","",1-F34)</f>
        <v/>
      </c>
      <c r="G35" s="33" t="str">
        <f aca="false">IF(G34="","",1-G34)</f>
        <v/>
      </c>
      <c r="H35" s="33" t="str">
        <f aca="false">IF(H34="","",1-H34)</f>
        <v/>
      </c>
      <c r="I35" s="33" t="str">
        <f aca="false">IF(I34="","",1-I34)</f>
        <v/>
      </c>
      <c r="J35" s="33" t="str">
        <f aca="false">IF(J34="","",1-J34)</f>
        <v/>
      </c>
      <c r="K35" s="33" t="str">
        <f aca="false">IF(K34="","",1-K34)</f>
        <v/>
      </c>
    </row>
    <row r="36" s="1" customFormat="true" ht="15" hidden="false" customHeight="true" outlineLevel="0" collapsed="false"/>
    <row r="37" s="1" customFormat="true" ht="15" hidden="false" customHeight="true" outlineLevel="0" collapsed="false">
      <c r="B37" s="7" t="s">
        <v>206</v>
      </c>
      <c r="C37" s="7"/>
      <c r="D37" s="7"/>
      <c r="E37" s="7"/>
      <c r="F37" s="7"/>
      <c r="G37" s="7"/>
      <c r="H37" s="7"/>
      <c r="I37" s="7"/>
      <c r="J37" s="7"/>
      <c r="K37" s="7"/>
    </row>
    <row r="38" s="1" customFormat="true" ht="15" hidden="false" customHeight="true" outlineLevel="0" collapsed="false">
      <c r="B38" s="9" t="s">
        <v>207</v>
      </c>
      <c r="C38" s="19" t="str">
        <f aca="false">IFERROR(AVERAGEIF($D$14:$K$14,"&lt;&gt;"),"")</f>
        <v/>
      </c>
    </row>
    <row r="39" s="1" customFormat="true" ht="15" hidden="false" customHeight="true" outlineLevel="0" collapsed="false">
      <c r="B39" s="9" t="s">
        <v>208</v>
      </c>
      <c r="C39" s="19" t="str">
        <f aca="false">IFERROR(MEDIAN($D$14:$K$14),"")</f>
        <v/>
      </c>
    </row>
    <row r="40" s="1" customFormat="true" ht="15" hidden="false" customHeight="true" outlineLevel="0" collapsed="false">
      <c r="B40" s="9" t="s">
        <v>209</v>
      </c>
      <c r="C40" s="19" t="str">
        <f aca="false">IF(COUNTA($D$14:$K$14)=0,"",MIN($D$14:$K$14))</f>
        <v/>
      </c>
    </row>
    <row r="41" s="1" customFormat="true" ht="15" hidden="false" customHeight="true" outlineLevel="0" collapsed="false">
      <c r="B41" s="9" t="s">
        <v>210</v>
      </c>
      <c r="C41" s="19" t="str">
        <f aca="false">IF(COUNTA($D$14:$K$14)=0,"",MAX($D$14:$K$14))</f>
        <v/>
      </c>
    </row>
    <row r="42" s="1" customFormat="true" ht="15" hidden="false" customHeight="true" outlineLevel="0" collapsed="false">
      <c r="B42" s="9" t="s">
        <v>211</v>
      </c>
      <c r="C42" s="19" t="str">
        <f aca="false">IFERROR(AVERAGEIF($D$30:$K$30,"&lt;&gt;"),"")</f>
        <v/>
      </c>
    </row>
    <row r="43" s="1" customFormat="true" ht="15" hidden="false" customHeight="true" outlineLevel="0" collapsed="false">
      <c r="B43" s="9" t="s">
        <v>212</v>
      </c>
      <c r="C43" s="19" t="str">
        <f aca="false">IFERROR(MEDIAN($D$30:$K$30),"")</f>
        <v/>
      </c>
    </row>
    <row r="44" s="1" customFormat="true" ht="15" hidden="false" customHeight="true" outlineLevel="0" collapsed="false">
      <c r="B44" s="9" t="s">
        <v>213</v>
      </c>
      <c r="C44" s="19" t="n">
        <f aca="false">IF(COUNTA($D$30:$K$30)=0,"",MIN($D$30:$K$30))</f>
        <v>0</v>
      </c>
    </row>
    <row r="45" s="1" customFormat="true" ht="15" hidden="false" customHeight="true" outlineLevel="0" collapsed="false">
      <c r="B45" s="9" t="s">
        <v>214</v>
      </c>
      <c r="C45" s="19" t="n">
        <f aca="false">IF(COUNTA($D$30:$K$30)=0,"",MAX($D$30:$K$30))</f>
        <v>0</v>
      </c>
    </row>
    <row r="46" s="1" customFormat="true" ht="15" hidden="false" customHeight="true" outlineLevel="0" collapsed="false">
      <c r="B46" s="9" t="s">
        <v>215</v>
      </c>
      <c r="C46" s="33" t="str">
        <f aca="false">IFERROR(AVERAGEIF($D$34:$K$34,"&lt;&gt;"),"")</f>
        <v/>
      </c>
    </row>
    <row r="47" s="1" customFormat="true" ht="15" hidden="false" customHeight="true" outlineLevel="0" collapsed="false">
      <c r="B47" s="27" t="s">
        <v>216</v>
      </c>
      <c r="C47" s="46" t="str">
        <f aca="false">$C$14</f>
        <v/>
      </c>
    </row>
    <row r="48" s="1" customFormat="true" ht="15" hidden="false" customHeight="true" outlineLevel="0" collapsed="false">
      <c r="B48" s="27" t="s">
        <v>217</v>
      </c>
      <c r="C48" s="11" t="str">
        <f aca="false">IFERROR((C14-C38)/C38,"")</f>
        <v/>
      </c>
    </row>
    <row r="49" s="1" customFormat="true" ht="15" hidden="false" customHeight="true" outlineLevel="0" collapsed="false">
      <c r="B49" s="27" t="s">
        <v>218</v>
      </c>
      <c r="C49" s="11" t="str">
        <f aca="false">IFERROR((C14-C42)/C42,"")</f>
        <v/>
      </c>
    </row>
    <row r="50" s="1" customFormat="true" ht="15" hidden="false" customHeight="true" outlineLevel="0" collapsed="false"/>
    <row r="51" s="1" customFormat="true" ht="15" hidden="false" customHeight="true" outlineLevel="0" collapsed="false"/>
    <row r="53" s="1" customFormat="true" ht="15" hidden="false" customHeight="true" outlineLevel="0" collapsed="false"/>
    <row r="54" s="1" customFormat="true" ht="15" hidden="false" customHeight="true" outlineLevel="0" collapsed="false"/>
    <row r="55" s="1" customFormat="tru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4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F00"/>
    <pageSetUpPr fitToPage="false"/>
  </sheetPr>
  <dimension ref="B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D9" activeCellId="0" sqref="D9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11" min="3" style="1" width="16"/>
    <col collapsed="false" customWidth="true" hidden="false" outlineLevel="0" max="12" min="12" style="1" width="3"/>
    <col collapsed="false" customWidth="false" hidden="false" outlineLevel="0" max="16384" min="13" style="1" width="8.67"/>
  </cols>
  <sheetData>
    <row r="1" customFormat="false" ht="15" hidden="false" customHeight="true" outlineLevel="0" collapsed="false">
      <c r="B1" s="67" t="s">
        <v>219</v>
      </c>
    </row>
    <row r="2" customFormat="false" ht="15" hidden="false" customHeight="true" outlineLevel="0" collapsed="false">
      <c r="B2" s="51" t="s">
        <v>1</v>
      </c>
    </row>
    <row r="4" customFormat="false" ht="15" hidden="false" customHeight="true" outlineLevel="0" collapsed="false">
      <c r="B4" s="7" t="s">
        <v>220</v>
      </c>
      <c r="C4" s="7"/>
      <c r="D4" s="7"/>
      <c r="E4" s="7"/>
      <c r="F4" s="7"/>
      <c r="G4" s="7"/>
      <c r="H4" s="7"/>
      <c r="I4" s="7"/>
      <c r="J4" s="7"/>
      <c r="K4" s="7"/>
    </row>
    <row r="5" customFormat="false" ht="15" hidden="false" customHeight="true" outlineLevel="0" collapsed="false">
      <c r="B5" s="7"/>
      <c r="C5" s="8" t="s">
        <v>178</v>
      </c>
      <c r="D5" s="8" t="s">
        <v>179</v>
      </c>
      <c r="E5" s="8" t="s">
        <v>180</v>
      </c>
      <c r="F5" s="8" t="s">
        <v>181</v>
      </c>
      <c r="G5" s="8" t="s">
        <v>182</v>
      </c>
      <c r="H5" s="8" t="s">
        <v>183</v>
      </c>
      <c r="I5" s="8" t="s">
        <v>184</v>
      </c>
      <c r="J5" s="8" t="s">
        <v>185</v>
      </c>
      <c r="K5" s="8" t="s">
        <v>186</v>
      </c>
    </row>
    <row r="6" customFormat="false" ht="15" hidden="false" customHeight="true" outlineLevel="0" collapsed="false">
      <c r="B6" s="9" t="s">
        <v>4</v>
      </c>
      <c r="C6" s="68" t="n">
        <f aca="false">Assumptions!$C$5</f>
        <v>0</v>
      </c>
      <c r="D6" s="69"/>
      <c r="E6" s="69"/>
      <c r="F6" s="69"/>
      <c r="G6" s="69"/>
      <c r="H6" s="69"/>
      <c r="I6" s="69"/>
      <c r="J6" s="69"/>
      <c r="K6" s="69"/>
    </row>
    <row r="7" customFormat="false" ht="15" hidden="false" customHeight="true" outlineLevel="0" collapsed="false">
      <c r="B7" s="9" t="s">
        <v>6</v>
      </c>
      <c r="C7" s="68" t="n">
        <f aca="false">Assumptions!$C$6</f>
        <v>0</v>
      </c>
      <c r="D7" s="69"/>
      <c r="E7" s="69"/>
      <c r="F7" s="69"/>
      <c r="G7" s="69"/>
      <c r="H7" s="69"/>
      <c r="I7" s="69"/>
      <c r="J7" s="69"/>
      <c r="K7" s="69"/>
    </row>
    <row r="8" customFormat="false" ht="15" hidden="false" customHeight="true" outlineLevel="0" collapsed="false">
      <c r="B8" s="9" t="s">
        <v>8</v>
      </c>
      <c r="C8" s="68" t="n">
        <f aca="false">Assumptions!$C$7</f>
        <v>0</v>
      </c>
      <c r="D8" s="69"/>
      <c r="E8" s="69"/>
      <c r="F8" s="69"/>
      <c r="G8" s="69"/>
      <c r="H8" s="69"/>
      <c r="I8" s="69"/>
      <c r="J8" s="69"/>
      <c r="K8" s="69"/>
    </row>
    <row r="9" customFormat="false" ht="15" hidden="false" customHeight="true" outlineLevel="0" collapsed="false">
      <c r="B9" s="9" t="s">
        <v>187</v>
      </c>
      <c r="C9" s="56" t="s">
        <v>146</v>
      </c>
      <c r="D9" s="70"/>
      <c r="E9" s="70"/>
      <c r="F9" s="70"/>
      <c r="G9" s="70"/>
      <c r="H9" s="70"/>
      <c r="I9" s="70"/>
      <c r="J9" s="70"/>
      <c r="K9" s="70"/>
    </row>
    <row r="10" customFormat="false" ht="15" hidden="false" customHeight="true" outlineLevel="0" collapsed="false">
      <c r="B10" s="9" t="s">
        <v>12</v>
      </c>
      <c r="C10" s="71" t="n">
        <f aca="false">Assumptions!$C$9</f>
        <v>0</v>
      </c>
      <c r="D10" s="14"/>
      <c r="E10" s="14"/>
      <c r="F10" s="14"/>
      <c r="G10" s="14"/>
      <c r="H10" s="14"/>
      <c r="I10" s="14"/>
      <c r="J10" s="14"/>
      <c r="K10" s="14"/>
    </row>
    <row r="11" customFormat="false" ht="15" hidden="false" customHeight="true" outlineLevel="0" collapsed="false">
      <c r="B11" s="9" t="s">
        <v>16</v>
      </c>
      <c r="C11" s="72" t="n">
        <f aca="false">Assumptions!$C$11</f>
        <v>0</v>
      </c>
      <c r="D11" s="14"/>
      <c r="E11" s="14"/>
      <c r="F11" s="14"/>
      <c r="G11" s="14"/>
      <c r="H11" s="14"/>
      <c r="I11" s="14"/>
      <c r="J11" s="14"/>
      <c r="K11" s="14"/>
    </row>
    <row r="12" customFormat="false" ht="15" hidden="false" customHeight="true" outlineLevel="0" collapsed="false">
      <c r="B12" s="9" t="s">
        <v>18</v>
      </c>
      <c r="C12" s="72" t="n">
        <f aca="false">Assumptions!$C$12</f>
        <v>0</v>
      </c>
      <c r="D12" s="14"/>
      <c r="E12" s="14"/>
      <c r="F12" s="14"/>
      <c r="G12" s="14"/>
      <c r="H12" s="14"/>
      <c r="I12" s="14"/>
      <c r="J12" s="14"/>
      <c r="K12" s="14"/>
    </row>
    <row r="14" customFormat="false" ht="15" hidden="false" customHeight="true" outlineLevel="0" collapsed="false">
      <c r="B14" s="73" t="s">
        <v>221</v>
      </c>
      <c r="C14" s="73"/>
      <c r="D14" s="73"/>
      <c r="E14" s="73"/>
      <c r="F14" s="73"/>
      <c r="G14" s="73"/>
      <c r="H14" s="73"/>
      <c r="I14" s="73"/>
      <c r="J14" s="73"/>
      <c r="K14" s="73"/>
    </row>
    <row r="15" customFormat="false" ht="15" hidden="false" customHeight="true" outlineLevel="0" collapsed="false">
      <c r="B15" s="9" t="s">
        <v>222</v>
      </c>
      <c r="C15" s="56" t="s">
        <v>146</v>
      </c>
      <c r="D15" s="78"/>
      <c r="E15" s="78"/>
      <c r="F15" s="78"/>
      <c r="G15" s="78"/>
      <c r="H15" s="78"/>
      <c r="I15" s="78"/>
      <c r="J15" s="78"/>
      <c r="K15" s="78"/>
    </row>
    <row r="16" customFormat="false" ht="15" hidden="false" customHeight="true" outlineLevel="0" collapsed="false">
      <c r="B16" s="9" t="s">
        <v>223</v>
      </c>
      <c r="C16" s="46" t="n">
        <f aca="false">Assumptions!$C$15</f>
        <v>0</v>
      </c>
      <c r="D16" s="18"/>
      <c r="E16" s="18"/>
      <c r="F16" s="18"/>
      <c r="G16" s="18"/>
      <c r="H16" s="18"/>
      <c r="I16" s="18"/>
      <c r="J16" s="18"/>
      <c r="K16" s="18"/>
    </row>
    <row r="17" customFormat="false" ht="15" hidden="false" customHeight="true" outlineLevel="0" collapsed="false">
      <c r="B17" s="9" t="s">
        <v>23</v>
      </c>
      <c r="C17" s="19" t="str">
        <f aca="false">IFERROR(C16/C10,"")</f>
        <v/>
      </c>
      <c r="D17" s="19" t="str">
        <f aca="false">IFERROR(D16/D10,"")</f>
        <v/>
      </c>
      <c r="E17" s="19" t="str">
        <f aca="false">IFERROR(E16/E10,"")</f>
        <v/>
      </c>
      <c r="F17" s="19" t="str">
        <f aca="false">IFERROR(F16/F10,"")</f>
        <v/>
      </c>
      <c r="G17" s="19" t="str">
        <f aca="false">IFERROR(G16/G10,"")</f>
        <v/>
      </c>
      <c r="H17" s="19" t="str">
        <f aca="false">IFERROR(H16/H10,"")</f>
        <v/>
      </c>
      <c r="I17" s="19" t="str">
        <f aca="false">IFERROR(I16/I10,"")</f>
        <v/>
      </c>
      <c r="J17" s="19" t="str">
        <f aca="false">IFERROR(J16/J10,"")</f>
        <v/>
      </c>
      <c r="K17" s="19" t="str">
        <f aca="false">IFERROR(K16/K10,"")</f>
        <v/>
      </c>
    </row>
    <row r="18" customFormat="false" ht="15" hidden="false" customHeight="true" outlineLevel="0" collapsed="false">
      <c r="B18" s="9" t="s">
        <v>189</v>
      </c>
      <c r="C18" s="46" t="str">
        <f aca="false">IFERROR(Assumptions!$H$33/12/Assumptions!$C$9,"")</f>
        <v/>
      </c>
      <c r="D18" s="18"/>
      <c r="E18" s="18"/>
      <c r="F18" s="18"/>
      <c r="G18" s="18"/>
      <c r="H18" s="18"/>
      <c r="I18" s="18"/>
      <c r="J18" s="18"/>
      <c r="K18" s="18"/>
    </row>
    <row r="19" customFormat="false" ht="15" hidden="false" customHeight="true" outlineLevel="0" collapsed="false">
      <c r="B19" s="9" t="s">
        <v>224</v>
      </c>
      <c r="C19" s="56" t="s">
        <v>146</v>
      </c>
      <c r="D19" s="69"/>
      <c r="E19" s="69"/>
      <c r="F19" s="69"/>
      <c r="G19" s="69"/>
      <c r="H19" s="69"/>
      <c r="I19" s="69"/>
      <c r="J19" s="69"/>
      <c r="K19" s="69"/>
    </row>
    <row r="20" customFormat="false" ht="15" hidden="false" customHeight="true" outlineLevel="0" collapsed="false">
      <c r="B20" s="9" t="s">
        <v>225</v>
      </c>
      <c r="C20" s="56" t="s">
        <v>146</v>
      </c>
      <c r="D20" s="69"/>
      <c r="E20" s="69"/>
      <c r="F20" s="69"/>
      <c r="G20" s="69"/>
      <c r="H20" s="69"/>
      <c r="I20" s="69"/>
      <c r="J20" s="69"/>
      <c r="K20" s="69"/>
    </row>
    <row r="21" customFormat="false" ht="15" hidden="false" customHeight="true" outlineLevel="0" collapsed="false">
      <c r="B21" s="9" t="s">
        <v>226</v>
      </c>
      <c r="C21" s="56" t="s">
        <v>146</v>
      </c>
      <c r="D21" s="69"/>
      <c r="E21" s="69"/>
      <c r="F21" s="69"/>
      <c r="G21" s="69"/>
      <c r="H21" s="69"/>
      <c r="I21" s="69"/>
      <c r="J21" s="69"/>
      <c r="K21" s="69"/>
    </row>
    <row r="23" customFormat="false" ht="15" hidden="false" customHeight="true" outlineLevel="0" collapsed="false">
      <c r="B23" s="73" t="s">
        <v>227</v>
      </c>
      <c r="C23" s="73"/>
      <c r="D23" s="73"/>
      <c r="E23" s="73"/>
      <c r="F23" s="73"/>
      <c r="G23" s="73"/>
      <c r="H23" s="73"/>
      <c r="I23" s="73"/>
      <c r="J23" s="73"/>
      <c r="K23" s="73"/>
    </row>
    <row r="24" customFormat="false" ht="15" hidden="false" customHeight="true" outlineLevel="0" collapsed="false">
      <c r="B24" s="9" t="s">
        <v>228</v>
      </c>
      <c r="C24" s="56" t="s">
        <v>146</v>
      </c>
      <c r="D24" s="20"/>
      <c r="E24" s="20"/>
      <c r="F24" s="20"/>
      <c r="G24" s="20"/>
      <c r="H24" s="20"/>
      <c r="I24" s="20"/>
      <c r="J24" s="20"/>
      <c r="K24" s="20"/>
    </row>
    <row r="25" customFormat="false" ht="15" hidden="false" customHeight="true" outlineLevel="0" collapsed="false">
      <c r="B25" s="9" t="s">
        <v>229</v>
      </c>
      <c r="C25" s="56" t="s">
        <v>146</v>
      </c>
      <c r="D25" s="20"/>
      <c r="E25" s="20"/>
      <c r="F25" s="20"/>
      <c r="G25" s="20"/>
      <c r="H25" s="20"/>
      <c r="I25" s="20"/>
      <c r="J25" s="20"/>
      <c r="K25" s="20"/>
    </row>
    <row r="26" customFormat="false" ht="15" hidden="false" customHeight="true" outlineLevel="0" collapsed="false">
      <c r="B26" s="9" t="s">
        <v>230</v>
      </c>
      <c r="C26" s="56" t="s">
        <v>146</v>
      </c>
      <c r="D26" s="20"/>
      <c r="E26" s="20"/>
      <c r="F26" s="20"/>
      <c r="G26" s="20"/>
      <c r="H26" s="20"/>
      <c r="I26" s="20"/>
      <c r="J26" s="20"/>
      <c r="K26" s="20"/>
    </row>
    <row r="27" customFormat="false" ht="15" hidden="false" customHeight="true" outlineLevel="0" collapsed="false">
      <c r="B27" s="9" t="s">
        <v>231</v>
      </c>
      <c r="C27" s="56" t="s">
        <v>146</v>
      </c>
      <c r="D27" s="20"/>
      <c r="E27" s="20"/>
      <c r="F27" s="20"/>
      <c r="G27" s="20"/>
      <c r="H27" s="20"/>
      <c r="I27" s="20"/>
      <c r="J27" s="20"/>
      <c r="K27" s="20"/>
    </row>
    <row r="28" customFormat="false" ht="15" hidden="false" customHeight="true" outlineLevel="0" collapsed="false">
      <c r="B28" s="9" t="s">
        <v>232</v>
      </c>
      <c r="C28" s="56" t="s">
        <v>146</v>
      </c>
      <c r="D28" s="20"/>
      <c r="E28" s="20"/>
      <c r="F28" s="20"/>
      <c r="G28" s="20"/>
      <c r="H28" s="20"/>
      <c r="I28" s="20"/>
      <c r="J28" s="20"/>
      <c r="K28" s="20"/>
    </row>
    <row r="29" customFormat="false" ht="15" hidden="false" customHeight="true" outlineLevel="0" collapsed="false">
      <c r="B29" s="27" t="s">
        <v>233</v>
      </c>
      <c r="C29" s="56" t="s">
        <v>146</v>
      </c>
      <c r="D29" s="33" t="n">
        <f aca="false">SUM(D24:D28)</f>
        <v>0</v>
      </c>
      <c r="E29" s="33" t="n">
        <f aca="false">SUM(E24:E28)</f>
        <v>0</v>
      </c>
      <c r="F29" s="33" t="n">
        <f aca="false">SUM(F24:F28)</f>
        <v>0</v>
      </c>
      <c r="G29" s="33" t="n">
        <f aca="false">SUM(G24:G28)</f>
        <v>0</v>
      </c>
      <c r="H29" s="33" t="n">
        <f aca="false">SUM(H24:H28)</f>
        <v>0</v>
      </c>
      <c r="I29" s="33" t="n">
        <f aca="false">SUM(I24:I28)</f>
        <v>0</v>
      </c>
      <c r="J29" s="33" t="n">
        <f aca="false">SUM(J24:J28)</f>
        <v>0</v>
      </c>
      <c r="K29" s="33" t="n">
        <f aca="false">SUM(K24:K28)</f>
        <v>0</v>
      </c>
    </row>
    <row r="30" customFormat="false" ht="15" hidden="false" customHeight="true" outlineLevel="0" collapsed="false">
      <c r="B30" s="9" t="s">
        <v>234</v>
      </c>
      <c r="C30" s="56" t="s">
        <v>146</v>
      </c>
      <c r="D30" s="20"/>
      <c r="E30" s="20"/>
      <c r="F30" s="20"/>
      <c r="G30" s="20"/>
      <c r="H30" s="20"/>
      <c r="I30" s="20"/>
      <c r="J30" s="20"/>
      <c r="K30" s="20"/>
    </row>
    <row r="31" customFormat="false" ht="15" hidden="false" customHeight="true" outlineLevel="0" collapsed="false">
      <c r="B31" s="27" t="s">
        <v>235</v>
      </c>
      <c r="C31" s="56" t="s">
        <v>146</v>
      </c>
      <c r="D31" s="19" t="str">
        <f aca="false">IFERROR(D17*(1+D29),"")</f>
        <v/>
      </c>
      <c r="E31" s="19" t="str">
        <f aca="false">IFERROR(E17*(1+E29),"")</f>
        <v/>
      </c>
      <c r="F31" s="19" t="str">
        <f aca="false">IFERROR(F17*(1+F29),"")</f>
        <v/>
      </c>
      <c r="G31" s="19" t="str">
        <f aca="false">IFERROR(G17*(1+G29),"")</f>
        <v/>
      </c>
      <c r="H31" s="19" t="str">
        <f aca="false">IFERROR(H17*(1+H29),"")</f>
        <v/>
      </c>
      <c r="I31" s="19" t="str">
        <f aca="false">IFERROR(I17*(1+I29),"")</f>
        <v/>
      </c>
      <c r="J31" s="19" t="str">
        <f aca="false">IFERROR(J17*(1+J29),"")</f>
        <v/>
      </c>
      <c r="K31" s="19" t="str">
        <f aca="false">IFERROR(K17*(1+K29),"")</f>
        <v/>
      </c>
    </row>
    <row r="33" customFormat="false" ht="15" hidden="false" customHeight="true" outlineLevel="0" collapsed="false">
      <c r="B33" s="7" t="s">
        <v>236</v>
      </c>
      <c r="C33" s="7"/>
      <c r="D33" s="7"/>
      <c r="E33" s="7"/>
      <c r="F33" s="7"/>
      <c r="G33" s="7"/>
      <c r="H33" s="7"/>
      <c r="I33" s="7"/>
      <c r="J33" s="7"/>
      <c r="K33" s="7"/>
    </row>
    <row r="34" customFormat="false" ht="15" hidden="false" customHeight="true" outlineLevel="0" collapsed="false">
      <c r="B34" s="27" t="s">
        <v>237</v>
      </c>
      <c r="C34" s="19" t="str">
        <f aca="false">IFERROR(SUMPRODUCT($D$31:$K$31,$D$30:$K$30)/SUM($D$30:$K$30),"")</f>
        <v/>
      </c>
    </row>
    <row r="35" customFormat="false" ht="15" hidden="false" customHeight="true" outlineLevel="0" collapsed="false">
      <c r="B35" s="75" t="s">
        <v>238</v>
      </c>
      <c r="C35" s="19" t="str">
        <f aca="false">IFERROR($C$34*C10,"")</f>
        <v/>
      </c>
    </row>
    <row r="36" customFormat="false" ht="15" hidden="false" customHeight="true" outlineLevel="0" collapsed="false">
      <c r="B36" s="27" t="s">
        <v>239</v>
      </c>
      <c r="C36" s="19" t="str">
        <f aca="false">IFERROR(AVERAGEIF($D$17:$K$17,"&lt;&gt;"),"")</f>
        <v/>
      </c>
    </row>
    <row r="37" customFormat="false" ht="15" hidden="false" customHeight="true" outlineLevel="0" collapsed="false">
      <c r="B37" s="27" t="s">
        <v>217</v>
      </c>
      <c r="C37" s="33" t="str">
        <f aca="false">IFERROR((C34-C36)/C36,"")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4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F00"/>
    <pageSetUpPr fitToPage="true"/>
  </sheetPr>
  <dimension ref="B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C19" activeCellId="0" sqref="C19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12" min="3" style="1" width="14"/>
    <col collapsed="false" customWidth="true" hidden="false" outlineLevel="0" max="13" min="13" style="1" width="3"/>
    <col collapsed="false" customWidth="false" hidden="false" outlineLevel="0" max="16384" min="14" style="1" width="8.67"/>
  </cols>
  <sheetData>
    <row r="1" customFormat="false" ht="15" hidden="false" customHeight="true" outlineLevel="0" collapsed="false">
      <c r="B1" s="53" t="s">
        <v>240</v>
      </c>
    </row>
    <row r="2" customFormat="false" ht="15" hidden="false" customHeight="true" outlineLevel="0" collapsed="false">
      <c r="B2" s="3" t="s">
        <v>141</v>
      </c>
      <c r="C2" s="54"/>
      <c r="D2" s="54" t="n">
        <f aca="false">C2+1</f>
        <v>1</v>
      </c>
      <c r="E2" s="54" t="n">
        <f aca="false">D2+1</f>
        <v>2</v>
      </c>
      <c r="F2" s="54" t="n">
        <f aca="false">E2+1</f>
        <v>3</v>
      </c>
      <c r="G2" s="54" t="n">
        <f aca="false">F2+1</f>
        <v>4</v>
      </c>
      <c r="H2" s="54" t="n">
        <f aca="false">G2+1</f>
        <v>5</v>
      </c>
      <c r="I2" s="54" t="n">
        <f aca="false">H2+1</f>
        <v>6</v>
      </c>
      <c r="J2" s="54" t="n">
        <f aca="false">I2+1</f>
        <v>7</v>
      </c>
      <c r="K2" s="54" t="n">
        <f aca="false">J2+1</f>
        <v>8</v>
      </c>
      <c r="L2" s="54" t="n">
        <f aca="false">K2+1</f>
        <v>9</v>
      </c>
    </row>
    <row r="3" customFormat="false" ht="15" hidden="false" customHeight="true" outlineLevel="0" collapsed="false">
      <c r="B3" s="7" t="s">
        <v>241</v>
      </c>
      <c r="C3" s="8" t="s">
        <v>40</v>
      </c>
      <c r="D3" s="8" t="s">
        <v>41</v>
      </c>
      <c r="E3" s="8" t="s">
        <v>42</v>
      </c>
      <c r="F3" s="8" t="s">
        <v>43</v>
      </c>
      <c r="G3" s="8" t="s">
        <v>44</v>
      </c>
      <c r="H3" s="8" t="s">
        <v>45</v>
      </c>
      <c r="I3" s="8" t="s">
        <v>46</v>
      </c>
      <c r="J3" s="8" t="s">
        <v>47</v>
      </c>
      <c r="K3" s="8" t="s">
        <v>48</v>
      </c>
      <c r="L3" s="8" t="s">
        <v>49</v>
      </c>
    </row>
    <row r="4" customFormat="false" ht="15" hidden="false" customHeight="true" outlineLevel="0" collapsed="false">
      <c r="B4" s="9" t="s">
        <v>242</v>
      </c>
      <c r="C4" s="46" t="n">
        <f aca="false">Assumptions!$C$39</f>
        <v>0</v>
      </c>
      <c r="D4" s="19" t="str">
        <f aca="false">IF(D$2&gt;Assumptions!$H$15,"",C8)</f>
        <v/>
      </c>
      <c r="E4" s="19" t="str">
        <f aca="false">IF(E$2&gt;Assumptions!$H$15,"",D8)</f>
        <v/>
      </c>
      <c r="F4" s="19" t="str">
        <f aca="false">IF(F$2&gt;Assumptions!$H$15,"",E8)</f>
        <v/>
      </c>
      <c r="G4" s="19" t="str">
        <f aca="false">IF(G$2&gt;Assumptions!$H$15,"",F8)</f>
        <v/>
      </c>
      <c r="H4" s="19" t="str">
        <f aca="false">IF(H$2&gt;Assumptions!$H$15,"",G8)</f>
        <v/>
      </c>
      <c r="I4" s="19" t="str">
        <f aca="false">IF(I$2&gt;Assumptions!$H$15,"",H8)</f>
        <v/>
      </c>
      <c r="J4" s="19" t="str">
        <f aca="false">IF(J$2&gt;Assumptions!$H$15,"",I8)</f>
        <v/>
      </c>
      <c r="K4" s="19" t="str">
        <f aca="false">IF(K$2&gt;Assumptions!$H$15,"",J8)</f>
        <v/>
      </c>
      <c r="L4" s="19" t="str">
        <f aca="false">IF(L$2&gt;Assumptions!$H$15,"",K8)</f>
        <v/>
      </c>
    </row>
    <row r="5" customFormat="false" ht="15" hidden="false" customHeight="true" outlineLevel="0" collapsed="false">
      <c r="B5" s="9" t="s">
        <v>243</v>
      </c>
      <c r="C5" s="46" t="n">
        <f aca="false">IF(C$2&gt;Assumptions!$H$15,"",C4*Assumptions!$C$40)</f>
        <v>0</v>
      </c>
      <c r="D5" s="46" t="str">
        <f aca="false">IF(D$2&gt;Assumptions!$H$15,"",D4*Assumptions!$C$40)</f>
        <v/>
      </c>
      <c r="E5" s="46" t="str">
        <f aca="false">IF(E$2&gt;Assumptions!$H$15,"",E4*Assumptions!$C$40)</f>
        <v/>
      </c>
      <c r="F5" s="46" t="str">
        <f aca="false">IF(F$2&gt;Assumptions!$H$15,"",F4*Assumptions!$C$40)</f>
        <v/>
      </c>
      <c r="G5" s="46" t="str">
        <f aca="false">IF(G$2&gt;Assumptions!$H$15,"",G4*Assumptions!$C$40)</f>
        <v/>
      </c>
      <c r="H5" s="46" t="str">
        <f aca="false">IF(H$2&gt;Assumptions!$H$15,"",H4*Assumptions!$C$40)</f>
        <v/>
      </c>
      <c r="I5" s="46" t="str">
        <f aca="false">IF(I$2&gt;Assumptions!$H$15,"",I4*Assumptions!$C$40)</f>
        <v/>
      </c>
      <c r="J5" s="46" t="str">
        <f aca="false">IF(J$2&gt;Assumptions!$H$15,"",J4*Assumptions!$C$40)</f>
        <v/>
      </c>
      <c r="K5" s="46" t="str">
        <f aca="false">IF(K$2&gt;Assumptions!$H$15,"",K4*Assumptions!$C$40)</f>
        <v/>
      </c>
      <c r="L5" s="46" t="str">
        <f aca="false">IF(L$2&gt;Assumptions!$H$15,"",L4*Assumptions!$C$40)</f>
        <v/>
      </c>
    </row>
    <row r="6" customFormat="false" ht="15" hidden="false" customHeight="true" outlineLevel="0" collapsed="false">
      <c r="B6" s="9" t="s">
        <v>244</v>
      </c>
      <c r="C6" s="46" t="n">
        <f aca="false">IF(C$2&gt;Assumptions!$H$15,"",IF(Assumptions!$C$37=1,0,IF(Assumptions!$C$37=2,'Pro Forma'!D$32-C5,IF(C$2&lt;=Assumptions!$C$41,0,'Pro Forma'!D$32-C5))))</f>
        <v>0</v>
      </c>
      <c r="D6" s="46" t="str">
        <f aca="false">IF(D$2&gt;Assumptions!$H$15,"",IF(Assumptions!$C$37=1,0,IF(Assumptions!$C$37=2,'Pro Forma'!E$32-D5,IF(D$2&lt;=Assumptions!$C$41,0,'Pro Forma'!E$32-D5))))</f>
        <v/>
      </c>
      <c r="E6" s="46" t="str">
        <f aca="false">IF(E$2&gt;Assumptions!$H$15,"",IF(Assumptions!$C$37=1,0,IF(Assumptions!$C$37=2,'Pro Forma'!F$32-E5,IF(E$2&lt;=Assumptions!$C$41,0,'Pro Forma'!F$32-E5))))</f>
        <v/>
      </c>
      <c r="F6" s="46" t="str">
        <f aca="false">IF(F$2&gt;Assumptions!$H$15,"",IF(Assumptions!$C$37=1,0,IF(Assumptions!$C$37=2,'Pro Forma'!G$32-F5,IF(F$2&lt;=Assumptions!$C$41,0,'Pro Forma'!G$32-F5))))</f>
        <v/>
      </c>
      <c r="G6" s="46" t="str">
        <f aca="false">IF(G$2&gt;Assumptions!$H$15,"",IF(Assumptions!$C$37=1,0,IF(Assumptions!$C$37=2,'Pro Forma'!H$32-G5,IF(G$2&lt;=Assumptions!$C$41,0,'Pro Forma'!H$32-G5))))</f>
        <v/>
      </c>
      <c r="H6" s="46" t="str">
        <f aca="false">IF(H$2&gt;Assumptions!$H$15,"",IF(Assumptions!$C$37=1,0,IF(Assumptions!$C$37=2,'Pro Forma'!I$32-H5,IF(H$2&lt;=Assumptions!$C$41,0,'Pro Forma'!I$32-H5))))</f>
        <v/>
      </c>
      <c r="I6" s="46" t="str">
        <f aca="false">IF(I$2&gt;Assumptions!$H$15,"",IF(Assumptions!$C$37=1,0,IF(Assumptions!$C$37=2,'Pro Forma'!J$32-I5,IF(I$2&lt;=Assumptions!$C$41,0,'Pro Forma'!J$32-I5))))</f>
        <v/>
      </c>
      <c r="J6" s="46" t="str">
        <f aca="false">IF(J$2&gt;Assumptions!$H$15,"",IF(Assumptions!$C$37=1,0,IF(Assumptions!$C$37=2,'Pro Forma'!K$32-J5,IF(J$2&lt;=Assumptions!$C$41,0,'Pro Forma'!K$32-J5))))</f>
        <v/>
      </c>
      <c r="K6" s="46" t="str">
        <f aca="false">IF(K$2&gt;Assumptions!$H$15,"",IF(Assumptions!$C$37=1,0,IF(Assumptions!$C$37=2,'Pro Forma'!L$32-K5,IF(K$2&lt;=Assumptions!$C$41,0,'Pro Forma'!L$32-K5))))</f>
        <v/>
      </c>
      <c r="L6" s="46" t="str">
        <f aca="false">IF(L$2&gt;Assumptions!$H$15,"",IF(Assumptions!$C$37=1,0,IF(Assumptions!$C$37=2,'Pro Forma'!M$32-L5,IF(L$2&lt;=Assumptions!$C$41,0,'Pro Forma'!M$32-L5))))</f>
        <v/>
      </c>
    </row>
    <row r="7" customFormat="false" ht="15" hidden="false" customHeight="true" outlineLevel="0" collapsed="false">
      <c r="B7" s="27" t="s">
        <v>245</v>
      </c>
      <c r="C7" s="35" t="n">
        <f aca="false">IF(C$2&gt;Assumptions!$H$15,"",C5+C6)</f>
        <v>0</v>
      </c>
      <c r="D7" s="35" t="str">
        <f aca="false">IF(D$2&gt;Assumptions!$H$15,"",D5+D6)</f>
        <v/>
      </c>
      <c r="E7" s="35" t="str">
        <f aca="false">IF(E$2&gt;Assumptions!$H$15,"",E5+E6)</f>
        <v/>
      </c>
      <c r="F7" s="35" t="str">
        <f aca="false">IF(F$2&gt;Assumptions!$H$15,"",F5+F6)</f>
        <v/>
      </c>
      <c r="G7" s="35" t="str">
        <f aca="false">IF(G$2&gt;Assumptions!$H$15,"",G5+G6)</f>
        <v/>
      </c>
      <c r="H7" s="35" t="str">
        <f aca="false">IF(H$2&gt;Assumptions!$H$15,"",H5+H6)</f>
        <v/>
      </c>
      <c r="I7" s="35" t="str">
        <f aca="false">IF(I$2&gt;Assumptions!$H$15,"",I5+I6)</f>
        <v/>
      </c>
      <c r="J7" s="35" t="str">
        <f aca="false">IF(J$2&gt;Assumptions!$H$15,"",J5+J6)</f>
        <v/>
      </c>
      <c r="K7" s="35" t="str">
        <f aca="false">IF(K$2&gt;Assumptions!$H$15,"",K5+K6)</f>
        <v/>
      </c>
      <c r="L7" s="35" t="str">
        <f aca="false">IF(L$2&gt;Assumptions!$H$15,"",L5+L6)</f>
        <v/>
      </c>
    </row>
    <row r="8" customFormat="false" ht="15" hidden="false" customHeight="true" outlineLevel="0" collapsed="false">
      <c r="B8" s="9" t="s">
        <v>246</v>
      </c>
      <c r="C8" s="19" t="n">
        <f aca="false">IF(C$2&gt;Assumptions!$H$15,"",C4-C6)</f>
        <v>0</v>
      </c>
      <c r="D8" s="19" t="str">
        <f aca="false">IF(D$2&gt;Assumptions!$H$15,"",D4-D6)</f>
        <v/>
      </c>
      <c r="E8" s="19" t="str">
        <f aca="false">IF(E$2&gt;Assumptions!$H$15,"",E4-E6)</f>
        <v/>
      </c>
      <c r="F8" s="19" t="str">
        <f aca="false">IF(F$2&gt;Assumptions!$H$15,"",F4-F6)</f>
        <v/>
      </c>
      <c r="G8" s="19" t="str">
        <f aca="false">IF(G$2&gt;Assumptions!$H$15,"",G4-G6)</f>
        <v/>
      </c>
      <c r="H8" s="19" t="str">
        <f aca="false">IF(H$2&gt;Assumptions!$H$15,"",H4-H6)</f>
        <v/>
      </c>
      <c r="I8" s="19" t="str">
        <f aca="false">IF(I$2&gt;Assumptions!$H$15,"",I4-I6)</f>
        <v/>
      </c>
      <c r="J8" s="19" t="str">
        <f aca="false">IF(J$2&gt;Assumptions!$H$15,"",J4-J6)</f>
        <v/>
      </c>
      <c r="K8" s="19" t="str">
        <f aca="false">IF(K$2&gt;Assumptions!$H$15,"",K4-K6)</f>
        <v/>
      </c>
      <c r="L8" s="19" t="str">
        <f aca="false">IF(L$2&gt;Assumptions!$H$15,"",L4-L6)</f>
        <v/>
      </c>
    </row>
    <row r="10" customFormat="false" ht="15" hidden="false" customHeight="true" outlineLevel="0" collapsed="false">
      <c r="B10" s="40" t="s">
        <v>247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</row>
    <row r="11" customFormat="false" ht="15" hidden="false" customHeight="true" outlineLevel="0" collapsed="false">
      <c r="B11" s="79" t="s">
        <v>161</v>
      </c>
      <c r="C11" s="80" t="str">
        <f aca="false">IF(C$2&gt;Assumptions!$H$15,"",IFERROR(IF('Pro Forma'!D$34=0,"",'Pro Forma'!D$26/'Pro Forma'!D$34),""))</f>
        <v/>
      </c>
      <c r="D11" s="80" t="str">
        <f aca="false">IF(D$2&gt;Assumptions!$H$15,"",IFERROR(IF('Pro Forma'!E$34=0,"",'Pro Forma'!E$26/'Pro Forma'!E$34),""))</f>
        <v/>
      </c>
      <c r="E11" s="80" t="str">
        <f aca="false">IF(E$2&gt;Assumptions!$H$15,"",IFERROR(IF('Pro Forma'!F$34=0,"",'Pro Forma'!F$26/'Pro Forma'!F$34),""))</f>
        <v/>
      </c>
      <c r="F11" s="80" t="str">
        <f aca="false">IF(F$2&gt;Assumptions!$H$15,"",IFERROR(IF('Pro Forma'!G$34=0,"",'Pro Forma'!G$26/'Pro Forma'!G$34),""))</f>
        <v/>
      </c>
      <c r="G11" s="80" t="str">
        <f aca="false">IF(G$2&gt;Assumptions!$H$15,"",IFERROR(IF('Pro Forma'!H$34=0,"",'Pro Forma'!H$26/'Pro Forma'!H$34),""))</f>
        <v/>
      </c>
      <c r="H11" s="80" t="str">
        <f aca="false">IF(H$2&gt;Assumptions!$H$15,"",IFERROR(IF('Pro Forma'!I$34=0,"",'Pro Forma'!I$26/'Pro Forma'!I$34),""))</f>
        <v/>
      </c>
      <c r="I11" s="80" t="str">
        <f aca="false">IF(I$2&gt;Assumptions!$H$15,"",IFERROR(IF('Pro Forma'!J$34=0,"",'Pro Forma'!J$26/'Pro Forma'!J$34),""))</f>
        <v/>
      </c>
      <c r="J11" s="80" t="str">
        <f aca="false">IF(J$2&gt;Assumptions!$H$15,"",IFERROR(IF('Pro Forma'!K$34=0,"",'Pro Forma'!K$26/'Pro Forma'!K$34),""))</f>
        <v/>
      </c>
      <c r="K11" s="80" t="str">
        <f aca="false">IF(K$2&gt;Assumptions!$H$15,"",IFERROR(IF('Pro Forma'!L$34=0,"",'Pro Forma'!L$26/'Pro Forma'!L$34),""))</f>
        <v/>
      </c>
      <c r="L11" s="80" t="str">
        <f aca="false">IF(L$2&gt;Assumptions!$H$15,"",IFERROR(IF('Pro Forma'!M$34=0,"",'Pro Forma'!M$26/'Pro Forma'!M$34),""))</f>
        <v/>
      </c>
    </row>
    <row r="12" customFormat="false" ht="15" hidden="false" customHeight="true" outlineLevel="0" collapsed="false">
      <c r="B12" s="9" t="s">
        <v>97</v>
      </c>
      <c r="C12" s="11" t="str">
        <f aca="false">IF(C$2&gt;Assumptions!$H$15,"",IF(C4=0,"",'Pro Forma'!D$26/C4))</f>
        <v/>
      </c>
      <c r="D12" s="11" t="str">
        <f aca="false">IF(D$2&gt;Assumptions!$H$15,"",IF(D4=0,"",'Pro Forma'!E$26/D4))</f>
        <v/>
      </c>
      <c r="E12" s="11" t="str">
        <f aca="false">IF(E$2&gt;Assumptions!$H$15,"",IF(E4=0,"",'Pro Forma'!F$26/E4))</f>
        <v/>
      </c>
      <c r="F12" s="11" t="str">
        <f aca="false">IF(F$2&gt;Assumptions!$H$15,"",IF(F4=0,"",'Pro Forma'!G$26/F4))</f>
        <v/>
      </c>
      <c r="G12" s="11" t="str">
        <f aca="false">IF(G$2&gt;Assumptions!$H$15,"",IF(G4=0,"",'Pro Forma'!H$26/G4))</f>
        <v/>
      </c>
      <c r="H12" s="11" t="str">
        <f aca="false">IF(H$2&gt;Assumptions!$H$15,"",IF(H4=0,"",'Pro Forma'!I$26/H4))</f>
        <v/>
      </c>
      <c r="I12" s="11" t="str">
        <f aca="false">IF(I$2&gt;Assumptions!$H$15,"",IF(I4=0,"",'Pro Forma'!J$26/I4))</f>
        <v/>
      </c>
      <c r="J12" s="11" t="str">
        <f aca="false">IF(J$2&gt;Assumptions!$H$15,"",IF(J4=0,"",'Pro Forma'!K$26/J4))</f>
        <v/>
      </c>
      <c r="K12" s="11" t="str">
        <f aca="false">IF(K$2&gt;Assumptions!$H$15,"",IF(K4=0,"",'Pro Forma'!L$26/K4))</f>
        <v/>
      </c>
      <c r="L12" s="11" t="str">
        <f aca="false">IF(L$2&gt;Assumptions!$H$15,"",IF(L4=0,"",'Pro Forma'!M$26/L4))</f>
        <v/>
      </c>
    </row>
    <row r="13" customFormat="false" ht="15" hidden="false" customHeight="true" outlineLevel="0" collapsed="false">
      <c r="B13" s="9" t="s">
        <v>248</v>
      </c>
      <c r="C13" s="11" t="str">
        <f aca="false">IF(C$2&gt;Assumptions!$H$15,"",IF(Assumptions!$C$22=0,"",C8/('Pro Forma'!D$26/Assumptions!$C$22)))</f>
        <v/>
      </c>
      <c r="D13" s="11" t="str">
        <f aca="false">IF(D$2&gt;Assumptions!$H$15,"",IF(Assumptions!$C$22=0,"",D8/('Pro Forma'!E$26/Assumptions!$C$22)))</f>
        <v/>
      </c>
      <c r="E13" s="11" t="str">
        <f aca="false">IF(E$2&gt;Assumptions!$H$15,"",IF(Assumptions!$C$22=0,"",E8/('Pro Forma'!F$26/Assumptions!$C$22)))</f>
        <v/>
      </c>
      <c r="F13" s="11" t="str">
        <f aca="false">IF(F$2&gt;Assumptions!$H$15,"",IF(Assumptions!$C$22=0,"",F8/('Pro Forma'!G$26/Assumptions!$C$22)))</f>
        <v/>
      </c>
      <c r="G13" s="11" t="str">
        <f aca="false">IF(G$2&gt;Assumptions!$H$15,"",IF(Assumptions!$C$22=0,"",G8/('Pro Forma'!H$26/Assumptions!$C$22)))</f>
        <v/>
      </c>
      <c r="H13" s="11" t="str">
        <f aca="false">IF(H$2&gt;Assumptions!$H$15,"",IF(Assumptions!$C$22=0,"",H8/('Pro Forma'!I$26/Assumptions!$C$22)))</f>
        <v/>
      </c>
      <c r="I13" s="11" t="str">
        <f aca="false">IF(I$2&gt;Assumptions!$H$15,"",IF(Assumptions!$C$22=0,"",I8/('Pro Forma'!J$26/Assumptions!$C$22)))</f>
        <v/>
      </c>
      <c r="J13" s="11" t="str">
        <f aca="false">IF(J$2&gt;Assumptions!$H$15,"",IF(Assumptions!$C$22=0,"",J8/('Pro Forma'!K$26/Assumptions!$C$22)))</f>
        <v/>
      </c>
      <c r="K13" s="11" t="str">
        <f aca="false">IF(K$2&gt;Assumptions!$H$15,"",IF(Assumptions!$C$22=0,"",K8/('Pro Forma'!L$26/Assumptions!$C$22)))</f>
        <v/>
      </c>
      <c r="L13" s="11" t="str">
        <f aca="false">IF(L$2&gt;Assumptions!$H$15,"",IF(Assumptions!$C$22=0,"",L8/('Pro Forma'!M$26/Assumptions!$C$22)))</f>
        <v/>
      </c>
    </row>
    <row r="16" customFormat="false" ht="15" hidden="false" customHeight="true" outlineLevel="0" collapsed="false">
      <c r="B16" s="7" t="s">
        <v>249</v>
      </c>
      <c r="C16" s="8" t="s">
        <v>40</v>
      </c>
      <c r="D16" s="8" t="s">
        <v>41</v>
      </c>
      <c r="E16" s="8" t="s">
        <v>42</v>
      </c>
      <c r="F16" s="8" t="s">
        <v>43</v>
      </c>
      <c r="G16" s="8" t="s">
        <v>44</v>
      </c>
      <c r="H16" s="8" t="s">
        <v>45</v>
      </c>
      <c r="I16" s="8" t="s">
        <v>46</v>
      </c>
      <c r="J16" s="8" t="s">
        <v>47</v>
      </c>
      <c r="K16" s="8" t="s">
        <v>48</v>
      </c>
      <c r="L16" s="8" t="s">
        <v>49</v>
      </c>
    </row>
    <row r="17" customFormat="false" ht="15" hidden="false" customHeight="true" outlineLevel="0" collapsed="false">
      <c r="B17" s="9" t="s">
        <v>242</v>
      </c>
      <c r="C17" s="46" t="n">
        <f aca="false">Assumptions!$C$62</f>
        <v>0</v>
      </c>
      <c r="D17" s="19" t="str">
        <f aca="false">IF(D$2&gt;Assumptions!$H$15,"",C19)</f>
        <v/>
      </c>
      <c r="E17" s="19" t="str">
        <f aca="false">IF(E$2&gt;Assumptions!$H$15,"",D19)</f>
        <v/>
      </c>
      <c r="F17" s="19" t="str">
        <f aca="false">IF(F$2&gt;Assumptions!$H$15,"",E19)</f>
        <v/>
      </c>
      <c r="G17" s="19" t="str">
        <f aca="false">IF(G$2&gt;Assumptions!$H$15,"",F19)</f>
        <v/>
      </c>
      <c r="H17" s="19" t="str">
        <f aca="false">IF(H$2&gt;Assumptions!$H$15,"",G19)</f>
        <v/>
      </c>
      <c r="I17" s="19" t="str">
        <f aca="false">IF(I$2&gt;Assumptions!$H$15,"",H19)</f>
        <v/>
      </c>
      <c r="J17" s="19" t="str">
        <f aca="false">IF(J$2&gt;Assumptions!$H$15,"",I19)</f>
        <v/>
      </c>
      <c r="K17" s="19" t="str">
        <f aca="false">IF(K$2&gt;Assumptions!$H$15,"",J19)</f>
        <v/>
      </c>
      <c r="L17" s="19" t="str">
        <f aca="false">IF(L$2&gt;Assumptions!$H$15,"",K19)</f>
        <v/>
      </c>
    </row>
    <row r="18" customFormat="false" ht="15" hidden="false" customHeight="true" outlineLevel="0" collapsed="false">
      <c r="B18" s="9" t="s">
        <v>250</v>
      </c>
      <c r="C18" s="46" t="n">
        <f aca="false">IF(C$2&gt;Assumptions!$H$15,"",C17*Assumptions!$C$57)</f>
        <v>0</v>
      </c>
      <c r="D18" s="46" t="str">
        <f aca="false">IF(D$2&gt;Assumptions!$H$15,"",D17*Assumptions!$C$57)</f>
        <v/>
      </c>
      <c r="E18" s="46" t="str">
        <f aca="false">IF(E$2&gt;Assumptions!$H$15,"",E17*Assumptions!$C$57)</f>
        <v/>
      </c>
      <c r="F18" s="46" t="str">
        <f aca="false">IF(F$2&gt;Assumptions!$H$15,"",F17*Assumptions!$C$57)</f>
        <v/>
      </c>
      <c r="G18" s="46" t="str">
        <f aca="false">IF(G$2&gt;Assumptions!$H$15,"",G17*Assumptions!$C$57)</f>
        <v/>
      </c>
      <c r="H18" s="46" t="str">
        <f aca="false">IF(H$2&gt;Assumptions!$H$15,"",H17*Assumptions!$C$57)</f>
        <v/>
      </c>
      <c r="I18" s="46" t="str">
        <f aca="false">IF(I$2&gt;Assumptions!$H$15,"",I17*Assumptions!$C$57)</f>
        <v/>
      </c>
      <c r="J18" s="46" t="str">
        <f aca="false">IF(J$2&gt;Assumptions!$H$15,"",J17*Assumptions!$C$57)</f>
        <v/>
      </c>
      <c r="K18" s="46" t="str">
        <f aca="false">IF(K$2&gt;Assumptions!$H$15,"",K17*Assumptions!$C$57)</f>
        <v/>
      </c>
      <c r="L18" s="46" t="str">
        <f aca="false">IF(L$2&gt;Assumptions!$H$15,"",L17*Assumptions!$C$57)</f>
        <v/>
      </c>
    </row>
    <row r="19" customFormat="false" ht="15" hidden="false" customHeight="true" outlineLevel="0" collapsed="false">
      <c r="B19" s="9" t="s">
        <v>246</v>
      </c>
      <c r="C19" s="19" t="n">
        <f aca="false">IF(C$2&gt;Assumptions!$H$15,"",C17)</f>
        <v>0</v>
      </c>
      <c r="D19" s="19" t="str">
        <f aca="false">IF(D$2&gt;Assumptions!$H$15,"",D17)</f>
        <v/>
      </c>
      <c r="E19" s="19" t="str">
        <f aca="false">IF(E$2&gt;Assumptions!$H$15,"",E17)</f>
        <v/>
      </c>
      <c r="F19" s="19" t="str">
        <f aca="false">IF(F$2&gt;Assumptions!$H$15,"",F17)</f>
        <v/>
      </c>
      <c r="G19" s="19" t="str">
        <f aca="false">IF(G$2&gt;Assumptions!$H$15,"",G17)</f>
        <v/>
      </c>
      <c r="H19" s="19" t="str">
        <f aca="false">IF(H$2&gt;Assumptions!$H$15,"",H17)</f>
        <v/>
      </c>
      <c r="I19" s="19" t="str">
        <f aca="false">IF(I$2&gt;Assumptions!$H$15,"",I17)</f>
        <v/>
      </c>
      <c r="J19" s="19" t="str">
        <f aca="false">IF(J$2&gt;Assumptions!$H$15,"",J17)</f>
        <v/>
      </c>
      <c r="K19" s="19" t="str">
        <f aca="false">IF(K$2&gt;Assumptions!$H$15,"",K17)</f>
        <v/>
      </c>
      <c r="L19" s="19" t="str">
        <f aca="false">IF(L$2&gt;Assumptions!$H$15,"",L17)</f>
        <v/>
      </c>
    </row>
  </sheetData>
  <conditionalFormatting sqref="C11:L11">
    <cfRule type="cellIs" priority="2" operator="lessThan" aboveAverage="0" equalAverage="0" bottom="0" percent="0" rank="0" text="" dxfId="0">
      <formula>1</formula>
    </cfRule>
    <cfRule type="cellIs" priority="3" operator="between" aboveAverage="0" equalAverage="0" bottom="0" percent="0" rank="0" text="" dxfId="1">
      <formula>1</formula>
      <formula>1.25</formula>
    </cfRule>
    <cfRule type="cellIs" priority="4" operator="greaterThan" aboveAverage="0" equalAverage="0" bottom="0" percent="0" rank="0" text="" dxfId="2">
      <formula>1.25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F00"/>
    <pageSetUpPr fitToPage="true"/>
  </sheetPr>
  <dimension ref="B1:M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B35" activeCellId="0" sqref="B35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13" min="3" style="1" width="14"/>
    <col collapsed="false" customWidth="true" hidden="false" outlineLevel="0" max="14" min="14" style="1" width="3"/>
    <col collapsed="false" customWidth="false" hidden="false" outlineLevel="0" max="16384" min="15" style="1" width="8.67"/>
  </cols>
  <sheetData>
    <row r="1" customFormat="false" ht="15" hidden="false" customHeight="true" outlineLevel="0" collapsed="false">
      <c r="B1" s="53" t="s">
        <v>251</v>
      </c>
    </row>
    <row r="2" customFormat="false" ht="15" hidden="false" customHeight="true" outlineLevel="0" collapsed="false">
      <c r="B2" s="3" t="s">
        <v>141</v>
      </c>
      <c r="C2" s="54"/>
      <c r="D2" s="54" t="n">
        <f aca="false">C2+1</f>
        <v>1</v>
      </c>
      <c r="E2" s="54" t="n">
        <f aca="false">D2+1</f>
        <v>2</v>
      </c>
      <c r="F2" s="54" t="n">
        <f aca="false">E2+1</f>
        <v>3</v>
      </c>
      <c r="G2" s="54" t="n">
        <f aca="false">F2+1</f>
        <v>4</v>
      </c>
      <c r="H2" s="54" t="n">
        <f aca="false">G2+1</f>
        <v>5</v>
      </c>
      <c r="I2" s="54" t="n">
        <f aca="false">H2+1</f>
        <v>6</v>
      </c>
      <c r="J2" s="54" t="n">
        <f aca="false">I2+1</f>
        <v>7</v>
      </c>
      <c r="K2" s="54" t="n">
        <f aca="false">J2+1</f>
        <v>8</v>
      </c>
      <c r="L2" s="54" t="n">
        <f aca="false">K2+1</f>
        <v>9</v>
      </c>
      <c r="M2" s="54" t="n">
        <f aca="false">L2+1</f>
        <v>10</v>
      </c>
    </row>
    <row r="3" customFormat="false" ht="15" hidden="false" customHeight="true" outlineLevel="0" collapsed="false">
      <c r="B3" s="7" t="s">
        <v>252</v>
      </c>
      <c r="C3" s="8"/>
      <c r="H3" s="9"/>
    </row>
    <row r="4" customFormat="false" ht="15" hidden="false" customHeight="true" outlineLevel="0" collapsed="false">
      <c r="B4" s="9" t="s">
        <v>22</v>
      </c>
      <c r="C4" s="72" t="n">
        <f aca="false">Assumptions!$H$15</f>
        <v>0</v>
      </c>
      <c r="H4" s="9"/>
    </row>
    <row r="5" customFormat="false" ht="15" hidden="false" customHeight="true" outlineLevel="0" collapsed="false">
      <c r="B5" s="9" t="s">
        <v>253</v>
      </c>
      <c r="C5" s="46" t="n">
        <f aca="false">IFERROR(CHOOSE(Assumptions!$H$15,'Pro Forma'!D$26,'Pro Forma'!E$26,'Pro Forma'!F$26,'Pro Forma'!G$26,'Pro Forma'!H$26,'Pro Forma'!I$26,'Pro Forma'!J$26,'Pro Forma'!K$26,'Pro Forma'!L$26,'Pro Forma'!M$26),0)</f>
        <v>0</v>
      </c>
      <c r="H5" s="9"/>
    </row>
    <row r="6" customFormat="false" ht="15" hidden="false" customHeight="true" outlineLevel="0" collapsed="false">
      <c r="B6" s="9" t="s">
        <v>33</v>
      </c>
      <c r="C6" s="11" t="n">
        <f aca="false">Assumptions!$C$22</f>
        <v>0</v>
      </c>
      <c r="H6" s="9"/>
    </row>
    <row r="7" customFormat="false" ht="15" hidden="false" customHeight="true" outlineLevel="0" collapsed="false">
      <c r="B7" s="9" t="s">
        <v>254</v>
      </c>
      <c r="C7" s="46" t="n">
        <f aca="false">IF(C6=0,0,C5/C6)</f>
        <v>0</v>
      </c>
      <c r="H7" s="9"/>
    </row>
    <row r="8" customFormat="false" ht="15" hidden="false" customHeight="true" outlineLevel="0" collapsed="false">
      <c r="B8" s="9" t="s">
        <v>255</v>
      </c>
      <c r="C8" s="46" t="n">
        <f aca="false">-C7*Assumptions!$C$23</f>
        <v>-0</v>
      </c>
      <c r="H8" s="9"/>
    </row>
    <row r="9" customFormat="false" ht="15" hidden="false" customHeight="true" outlineLevel="0" collapsed="false">
      <c r="B9" s="9" t="s">
        <v>256</v>
      </c>
      <c r="C9" s="46" t="n">
        <f aca="false">IFERROR(-CHOOSE(Assumptions!$H$15,'Debt Schedule'!C$8,'Debt Schedule'!D$8,'Debt Schedule'!E$8,'Debt Schedule'!F$8,'Debt Schedule'!G$8,'Debt Schedule'!H$8,'Debt Schedule'!I$8,'Debt Schedule'!J$8,'Debt Schedule'!K$8,'Debt Schedule'!L$8),0)</f>
        <v>0</v>
      </c>
      <c r="H9" s="9"/>
    </row>
    <row r="10" customFormat="false" ht="15" hidden="false" customHeight="true" outlineLevel="0" collapsed="false">
      <c r="B10" s="9" t="s">
        <v>257</v>
      </c>
      <c r="C10" s="46" t="n">
        <f aca="false">IFERROR(-CHOOSE(Assumptions!$H$15,'Debt Schedule'!C$19,'Debt Schedule'!D$19,'Debt Schedule'!E$19,'Debt Schedule'!F$19,'Debt Schedule'!G$19,'Debt Schedule'!H$19,'Debt Schedule'!I$19,'Debt Schedule'!J$19,'Debt Schedule'!K$19,'Debt Schedule'!L$19),0)</f>
        <v>0</v>
      </c>
      <c r="H10" s="9"/>
    </row>
    <row r="11" customFormat="false" ht="15" hidden="false" customHeight="true" outlineLevel="0" collapsed="false">
      <c r="B11" s="38" t="s">
        <v>258</v>
      </c>
      <c r="C11" s="39" t="n">
        <f aca="false">C7+C8+C9+C10</f>
        <v>0</v>
      </c>
      <c r="H11" s="9"/>
      <c r="I11" s="9"/>
      <c r="J11" s="9"/>
    </row>
    <row r="12" customFormat="false" ht="15" hidden="false" customHeight="true" outlineLevel="0" collapsed="false">
      <c r="B12" s="27" t="s">
        <v>259</v>
      </c>
      <c r="C12" s="35" t="n">
        <f aca="false">C11-Assumptions!$C$64</f>
        <v>0</v>
      </c>
      <c r="F12" s="9"/>
      <c r="G12" s="9"/>
      <c r="H12" s="9"/>
      <c r="I12" s="9"/>
      <c r="J12" s="9"/>
    </row>
    <row r="13" customFormat="false" ht="15" hidden="false" customHeight="true" outlineLevel="0" collapsed="false">
      <c r="F13" s="9"/>
      <c r="G13" s="9"/>
      <c r="H13" s="9"/>
      <c r="I13" s="9"/>
      <c r="J13" s="9"/>
    </row>
    <row r="14" customFormat="false" ht="15" hidden="false" customHeight="true" outlineLevel="0" collapsed="false">
      <c r="B14" s="7" t="s">
        <v>260</v>
      </c>
      <c r="C14" s="8"/>
    </row>
    <row r="15" customFormat="false" ht="15" hidden="false" customHeight="true" outlineLevel="0" collapsed="false">
      <c r="B15" s="27" t="s">
        <v>261</v>
      </c>
      <c r="C15" s="33" t="n">
        <f aca="false">IFERROR(IRR(C32:M32),0)</f>
        <v>0</v>
      </c>
    </row>
    <row r="16" customFormat="false" ht="15" hidden="false" customHeight="true" outlineLevel="0" collapsed="false">
      <c r="B16" s="27" t="s">
        <v>17</v>
      </c>
      <c r="C16" s="81" t="n">
        <f aca="false">IF(-C32=0,0,SUM(D32:M32)/(-C32))</f>
        <v>0</v>
      </c>
    </row>
    <row r="17" customFormat="false" ht="15" hidden="false" customHeight="true" outlineLevel="0" collapsed="false">
      <c r="B17" s="27" t="s">
        <v>262</v>
      </c>
      <c r="C17" s="19" t="n">
        <f aca="false">SUM(C32:M32)</f>
        <v>0</v>
      </c>
    </row>
    <row r="18" customFormat="false" ht="15" hidden="false" customHeight="true" outlineLevel="0" collapsed="false">
      <c r="B18" s="27" t="s">
        <v>15</v>
      </c>
      <c r="C18" s="33" t="n">
        <f aca="false">IF(OR(-C29=0,Assumptions!$H$15=0),0,SUM(D30:M30)/(Assumptions!$H$15*(-C29)))</f>
        <v>0</v>
      </c>
    </row>
    <row r="19" customFormat="false" ht="15" hidden="false" customHeight="true" outlineLevel="0" collapsed="false">
      <c r="B19" s="27"/>
      <c r="C19" s="33"/>
    </row>
    <row r="20" customFormat="false" ht="15" hidden="false" customHeight="true" outlineLevel="0" collapsed="false">
      <c r="B20" s="7" t="s">
        <v>263</v>
      </c>
      <c r="C20" s="8"/>
    </row>
    <row r="21" customFormat="false" ht="15" hidden="false" customHeight="true" outlineLevel="0" collapsed="false">
      <c r="B21" s="27" t="s">
        <v>261</v>
      </c>
      <c r="C21" s="33" t="n">
        <f aca="false">IFERROR(IRR(C38:M38),0)</f>
        <v>0</v>
      </c>
    </row>
    <row r="22" customFormat="false" ht="15" hidden="false" customHeight="true" outlineLevel="0" collapsed="false">
      <c r="B22" s="27" t="s">
        <v>17</v>
      </c>
      <c r="C22" s="81" t="n">
        <f aca="false">IF(-C38=0,0,SUM(D38:M38)/(-C38))</f>
        <v>0</v>
      </c>
    </row>
    <row r="23" customFormat="false" ht="15" hidden="false" customHeight="true" outlineLevel="0" collapsed="false">
      <c r="B23" s="27" t="s">
        <v>262</v>
      </c>
      <c r="C23" s="19" t="n">
        <f aca="false">SUM(C38:M38)</f>
        <v>0</v>
      </c>
    </row>
    <row r="24" customFormat="false" ht="15" hidden="false" customHeight="true" outlineLevel="0" collapsed="false">
      <c r="B24" s="22" t="s">
        <v>15</v>
      </c>
      <c r="C24" s="82" t="n">
        <f aca="false">IF(OR(Assumptions!$C$64=0,Assumptions!$H$15=0),0,SUM(D36:M36)/(Assumptions!$H$15*Assumptions!$C$70))</f>
        <v>0</v>
      </c>
    </row>
    <row r="25" customFormat="false" ht="15" hidden="false" customHeight="true" outlineLevel="0" collapsed="false">
      <c r="B25" s="27" t="s">
        <v>264</v>
      </c>
      <c r="C25" s="33" t="n">
        <f aca="false">IF(Assumptions!$C$19=0,0,'Pro Forma'!D$26/Assumptions!$C$19)</f>
        <v>0</v>
      </c>
    </row>
    <row r="26" customFormat="false" ht="15" hidden="false" customHeight="true" outlineLevel="0" collapsed="false">
      <c r="B26" s="27" t="s">
        <v>265</v>
      </c>
      <c r="C26" s="81" t="n">
        <f aca="false">IFERROR(CHOOSE(Assumptions!$H$15,'Debt Schedule'!C$11,AVERAGE('Debt Schedule'!C$11:D11),AVERAGE('Debt Schedule'!C$11:E11),AVERAGE('Debt Schedule'!C$11:F11),AVERAGE('Debt Schedule'!C$11:G11),AVERAGE('Debt Schedule'!C$11:H11),AVERAGE('Debt Schedule'!C$11:I11),AVERAGE('Debt Schedule'!C$11:J11),AVERAGE('Debt Schedule'!C$11:K11),AVERAGE('Debt Schedule'!C$11:L11)),0)</f>
        <v>0</v>
      </c>
    </row>
    <row r="27" customFormat="false" ht="15" hidden="false" customHeight="true" outlineLevel="0" collapsed="false">
      <c r="B27" s="9"/>
      <c r="C27" s="9"/>
    </row>
    <row r="28" customFormat="false" ht="15" hidden="false" customHeight="true" outlineLevel="0" collapsed="false">
      <c r="B28" s="7" t="s">
        <v>266</v>
      </c>
      <c r="C28" s="8" t="s">
        <v>267</v>
      </c>
      <c r="D28" s="8" t="s">
        <v>40</v>
      </c>
      <c r="E28" s="8" t="s">
        <v>41</v>
      </c>
      <c r="F28" s="8" t="s">
        <v>42</v>
      </c>
      <c r="G28" s="8" t="s">
        <v>43</v>
      </c>
      <c r="H28" s="8" t="s">
        <v>44</v>
      </c>
      <c r="I28" s="8" t="s">
        <v>45</v>
      </c>
      <c r="J28" s="8" t="s">
        <v>46</v>
      </c>
      <c r="K28" s="8" t="s">
        <v>47</v>
      </c>
      <c r="L28" s="8" t="s">
        <v>48</v>
      </c>
      <c r="M28" s="8" t="s">
        <v>49</v>
      </c>
    </row>
    <row r="29" customFormat="false" ht="15" hidden="false" customHeight="true" outlineLevel="0" collapsed="false">
      <c r="B29" s="9" t="s">
        <v>268</v>
      </c>
      <c r="C29" s="46" t="n">
        <f aca="false">-(Assumptions!$C$15+Assumptions!$C$15*Assumptions!$C$18)</f>
        <v>-0</v>
      </c>
      <c r="D29" s="59" t="n">
        <v>0</v>
      </c>
      <c r="E29" s="59" t="n">
        <v>0</v>
      </c>
      <c r="F29" s="59" t="n">
        <v>0</v>
      </c>
      <c r="G29" s="59" t="n">
        <v>0</v>
      </c>
      <c r="H29" s="59" t="n">
        <v>0</v>
      </c>
      <c r="I29" s="59" t="n">
        <v>0</v>
      </c>
      <c r="J29" s="59" t="n">
        <v>0</v>
      </c>
      <c r="K29" s="59" t="n">
        <v>0</v>
      </c>
      <c r="L29" s="59" t="n">
        <v>0</v>
      </c>
      <c r="M29" s="59" t="n">
        <v>0</v>
      </c>
    </row>
    <row r="30" customFormat="false" ht="15" hidden="false" customHeight="true" outlineLevel="0" collapsed="false">
      <c r="B30" s="9" t="s">
        <v>269</v>
      </c>
      <c r="C30" s="59"/>
      <c r="D30" s="46" t="n">
        <f aca="false">IF(D$2&gt;Assumptions!$H$15,0,'Pro Forma'!D$30)</f>
        <v>0</v>
      </c>
      <c r="E30" s="46" t="n">
        <f aca="false">IF(E$2&gt;Assumptions!$H$15,0,'Pro Forma'!E$30)</f>
        <v>0</v>
      </c>
      <c r="F30" s="46" t="n">
        <f aca="false">IF(F$2&gt;Assumptions!$H$15,0,'Pro Forma'!F$30)</f>
        <v>0</v>
      </c>
      <c r="G30" s="46" t="n">
        <f aca="false">IF(G$2&gt;Assumptions!$H$15,0,'Pro Forma'!G$30)</f>
        <v>0</v>
      </c>
      <c r="H30" s="46" t="n">
        <f aca="false">IF(H$2&gt;Assumptions!$H$15,0,'Pro Forma'!H$30)</f>
        <v>0</v>
      </c>
      <c r="I30" s="46" t="n">
        <f aca="false">IF(I$2&gt;Assumptions!$H$15,0,'Pro Forma'!I$30)</f>
        <v>0</v>
      </c>
      <c r="J30" s="46" t="n">
        <f aca="false">IF(J$2&gt;Assumptions!$H$15,0,'Pro Forma'!J$30)</f>
        <v>0</v>
      </c>
      <c r="K30" s="46" t="n">
        <f aca="false">IF(K$2&gt;Assumptions!$H$15,0,'Pro Forma'!K$30)</f>
        <v>0</v>
      </c>
      <c r="L30" s="46" t="n">
        <f aca="false">IF(L$2&gt;Assumptions!$H$15,0,'Pro Forma'!L$30)</f>
        <v>0</v>
      </c>
      <c r="M30" s="46" t="n">
        <f aca="false">IF(M$2&gt;Assumptions!$H$15,0,'Pro Forma'!M$30)</f>
        <v>0</v>
      </c>
    </row>
    <row r="31" customFormat="false" ht="15" hidden="false" customHeight="true" outlineLevel="0" collapsed="false">
      <c r="B31" s="9" t="s">
        <v>270</v>
      </c>
      <c r="C31" s="59"/>
      <c r="D31" s="46" t="n">
        <f aca="false">IF(D$2=Assumptions!$H$15,C7+C8,0)</f>
        <v>0</v>
      </c>
      <c r="E31" s="46" t="n">
        <f aca="false">IF(E$2=Assumptions!$H$15,C7+C8,0)</f>
        <v>0</v>
      </c>
      <c r="F31" s="46" t="n">
        <f aca="false">IF(F$2=Assumptions!$H$15,C7+C8,0)</f>
        <v>0</v>
      </c>
      <c r="G31" s="46" t="n">
        <f aca="false">IF(G$2=Assumptions!$H$15,C7+C8,0)</f>
        <v>0</v>
      </c>
      <c r="H31" s="46" t="n">
        <f aca="false">IF(H$2=Assumptions!$H$15,C7+C8,0)</f>
        <v>0</v>
      </c>
      <c r="I31" s="46" t="n">
        <f aca="false">IF(I$2=Assumptions!$H$15,C7+C8,0)</f>
        <v>0</v>
      </c>
      <c r="J31" s="46" t="n">
        <f aca="false">IF(J$2=Assumptions!$H$15,C7+C8,0)</f>
        <v>0</v>
      </c>
      <c r="K31" s="46" t="n">
        <f aca="false">IF(K$2=Assumptions!$H$15,C7+C8,0)</f>
        <v>0</v>
      </c>
      <c r="L31" s="46" t="n">
        <f aca="false">IF(L$2=Assumptions!$H$15,C7+C8,0)</f>
        <v>0</v>
      </c>
      <c r="M31" s="46" t="n">
        <f aca="false">IF(M$2=Assumptions!$H$15,C7+C8,0)</f>
        <v>0</v>
      </c>
    </row>
    <row r="32" customFormat="false" ht="15" hidden="false" customHeight="true" outlineLevel="0" collapsed="false">
      <c r="B32" s="38" t="s">
        <v>271</v>
      </c>
      <c r="C32" s="39" t="n">
        <f aca="false">C29+C30+C31</f>
        <v>0</v>
      </c>
      <c r="D32" s="39" t="n">
        <f aca="false">D29+D30+D31</f>
        <v>0</v>
      </c>
      <c r="E32" s="39" t="n">
        <f aca="false">E29+E30+E31</f>
        <v>0</v>
      </c>
      <c r="F32" s="39" t="n">
        <f aca="false">F29+F30+F31</f>
        <v>0</v>
      </c>
      <c r="G32" s="39" t="n">
        <f aca="false">G29+G30+G31</f>
        <v>0</v>
      </c>
      <c r="H32" s="39" t="n">
        <f aca="false">H29+H30+H31</f>
        <v>0</v>
      </c>
      <c r="I32" s="39" t="n">
        <f aca="false">I29+I30+I31</f>
        <v>0</v>
      </c>
      <c r="J32" s="39" t="n">
        <f aca="false">J29+J30+J31</f>
        <v>0</v>
      </c>
      <c r="K32" s="39" t="n">
        <f aca="false">K29+K30+K31</f>
        <v>0</v>
      </c>
      <c r="L32" s="39" t="n">
        <f aca="false">L29+L30+L31</f>
        <v>0</v>
      </c>
      <c r="M32" s="39" t="n">
        <f aca="false">M29+M30+M31</f>
        <v>0</v>
      </c>
    </row>
    <row r="33" customFormat="false" ht="15.75" hidden="false" customHeight="true" outlineLevel="0" collapsed="false"/>
    <row r="34" customFormat="false" ht="15" hidden="false" customHeight="true" outlineLevel="0" collapsed="false">
      <c r="B34" s="7" t="s">
        <v>272</v>
      </c>
      <c r="C34" s="8" t="s">
        <v>267</v>
      </c>
      <c r="D34" s="8" t="s">
        <v>40</v>
      </c>
      <c r="E34" s="8" t="s">
        <v>41</v>
      </c>
      <c r="F34" s="8" t="s">
        <v>42</v>
      </c>
      <c r="G34" s="8" t="s">
        <v>43</v>
      </c>
      <c r="H34" s="8" t="s">
        <v>44</v>
      </c>
      <c r="I34" s="8" t="s">
        <v>45</v>
      </c>
      <c r="J34" s="8" t="s">
        <v>46</v>
      </c>
      <c r="K34" s="8" t="s">
        <v>47</v>
      </c>
      <c r="L34" s="8" t="s">
        <v>48</v>
      </c>
      <c r="M34" s="8" t="s">
        <v>49</v>
      </c>
    </row>
    <row r="35" customFormat="false" ht="15" hidden="false" customHeight="true" outlineLevel="0" collapsed="false">
      <c r="B35" s="79" t="s">
        <v>273</v>
      </c>
      <c r="C35" s="83" t="n">
        <f aca="false">-Assumptions!$C$70</f>
        <v>-0</v>
      </c>
      <c r="D35" s="59" t="n">
        <v>0</v>
      </c>
      <c r="E35" s="59" t="n">
        <v>0</v>
      </c>
      <c r="F35" s="59" t="n">
        <v>0</v>
      </c>
      <c r="G35" s="59" t="n">
        <v>0</v>
      </c>
      <c r="H35" s="59" t="n">
        <v>0</v>
      </c>
      <c r="I35" s="59" t="n">
        <v>0</v>
      </c>
      <c r="J35" s="59" t="n">
        <v>0</v>
      </c>
      <c r="K35" s="59" t="n">
        <v>0</v>
      </c>
      <c r="L35" s="59" t="n">
        <v>0</v>
      </c>
      <c r="M35" s="59" t="n">
        <v>0</v>
      </c>
    </row>
    <row r="36" customFormat="false" ht="15" hidden="false" customHeight="true" outlineLevel="0" collapsed="false">
      <c r="B36" s="9" t="s">
        <v>274</v>
      </c>
      <c r="C36" s="59"/>
      <c r="D36" s="46" t="n">
        <f aca="false">IF(D$2&gt;Assumptions!$H$15,0,'Pro Forma'!D$38)</f>
        <v>0</v>
      </c>
      <c r="E36" s="46" t="n">
        <f aca="false">IF(E$2&gt;Assumptions!$H$15,0,'Pro Forma'!E$38)</f>
        <v>0</v>
      </c>
      <c r="F36" s="46" t="n">
        <f aca="false">IF(F$2&gt;Assumptions!$H$15,0,'Pro Forma'!F$38)</f>
        <v>0</v>
      </c>
      <c r="G36" s="46" t="n">
        <f aca="false">IF(G$2&gt;Assumptions!$H$15,0,'Pro Forma'!G$38)</f>
        <v>0</v>
      </c>
      <c r="H36" s="46" t="n">
        <f aca="false">IF(H$2&gt;Assumptions!$H$15,0,'Pro Forma'!H$38)</f>
        <v>0</v>
      </c>
      <c r="I36" s="46" t="n">
        <f aca="false">IF(I$2&gt;Assumptions!$H$15,0,'Pro Forma'!I$38)</f>
        <v>0</v>
      </c>
      <c r="J36" s="46" t="n">
        <f aca="false">IF(J$2&gt;Assumptions!$H$15,0,'Pro Forma'!J$38)</f>
        <v>0</v>
      </c>
      <c r="K36" s="46" t="n">
        <f aca="false">IF(K$2&gt;Assumptions!$H$15,0,'Pro Forma'!K$38)</f>
        <v>0</v>
      </c>
      <c r="L36" s="46" t="n">
        <f aca="false">IF(L$2&gt;Assumptions!$H$15,0,'Pro Forma'!L$38)</f>
        <v>0</v>
      </c>
      <c r="M36" s="46" t="n">
        <f aca="false">IF(M$2&gt;Assumptions!$H$15,0,'Pro Forma'!M$38)</f>
        <v>0</v>
      </c>
    </row>
    <row r="37" customFormat="false" ht="15" hidden="false" customHeight="true" outlineLevel="0" collapsed="false">
      <c r="B37" s="9" t="s">
        <v>258</v>
      </c>
      <c r="C37" s="59"/>
      <c r="D37" s="46" t="n">
        <f aca="false">IF(D$2=Assumptions!$H$15,C11,0)</f>
        <v>0</v>
      </c>
      <c r="E37" s="46" t="n">
        <f aca="false">IF(E$2=Assumptions!$H$15,C11,0)</f>
        <v>0</v>
      </c>
      <c r="F37" s="46" t="n">
        <f aca="false">IF(F$2=Assumptions!$H$15,C11,0)</f>
        <v>0</v>
      </c>
      <c r="G37" s="46" t="n">
        <f aca="false">IF(G$2=Assumptions!$H$15,C11,0)</f>
        <v>0</v>
      </c>
      <c r="H37" s="46" t="n">
        <f aca="false">IF(H$2=Assumptions!$H$15,C11,0)</f>
        <v>0</v>
      </c>
      <c r="I37" s="46" t="n">
        <f aca="false">IF(I$2=Assumptions!$H$15,C11,0)</f>
        <v>0</v>
      </c>
      <c r="J37" s="46" t="n">
        <f aca="false">IF(J$2=Assumptions!$H$15,C11,0)</f>
        <v>0</v>
      </c>
      <c r="K37" s="46" t="n">
        <f aca="false">IF(K$2=Assumptions!$H$15,C11,0)</f>
        <v>0</v>
      </c>
      <c r="L37" s="46" t="n">
        <f aca="false">IF(L$2=Assumptions!$H$15,C11,0)</f>
        <v>0</v>
      </c>
      <c r="M37" s="46" t="n">
        <f aca="false">IF(M$2=Assumptions!$H$15,C11,0)</f>
        <v>0</v>
      </c>
    </row>
    <row r="38" customFormat="false" ht="15" hidden="false" customHeight="true" outlineLevel="0" collapsed="false">
      <c r="B38" s="38" t="s">
        <v>275</v>
      </c>
      <c r="C38" s="39" t="n">
        <f aca="false">C35+C36+C37</f>
        <v>0</v>
      </c>
      <c r="D38" s="39" t="n">
        <f aca="false">D35+D36+D37</f>
        <v>0</v>
      </c>
      <c r="E38" s="39" t="n">
        <f aca="false">E35+E36+E37</f>
        <v>0</v>
      </c>
      <c r="F38" s="39" t="n">
        <f aca="false">F35+F36+F37</f>
        <v>0</v>
      </c>
      <c r="G38" s="39" t="n">
        <f aca="false">G35+G36+G37</f>
        <v>0</v>
      </c>
      <c r="H38" s="39" t="n">
        <f aca="false">H35+H36+H37</f>
        <v>0</v>
      </c>
      <c r="I38" s="39" t="n">
        <f aca="false">I35+I36+I37</f>
        <v>0</v>
      </c>
      <c r="J38" s="39" t="n">
        <f aca="false">J35+J36+J37</f>
        <v>0</v>
      </c>
      <c r="K38" s="39" t="n">
        <f aca="false">K35+K36+K37</f>
        <v>0</v>
      </c>
      <c r="L38" s="39" t="n">
        <f aca="false">L35+L36+L37</f>
        <v>0</v>
      </c>
      <c r="M38" s="39" t="n">
        <f aca="false">M35+M36+M37</f>
        <v>0</v>
      </c>
    </row>
    <row r="39" customFormat="false" ht="15.75" hidden="false" customHeight="true" outlineLevel="0" collapsed="false"/>
    <row r="46" customFormat="false" ht="15" hidden="false" customHeight="true" outlineLevel="0" collapsed="false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F00"/>
    <pageSetUpPr fitToPage="false"/>
  </sheetPr>
  <dimension ref="A1:N99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C6" activeCellId="0" sqref="C6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13" min="3" style="1" width="16"/>
    <col collapsed="false" customWidth="true" hidden="false" outlineLevel="0" max="14" min="14" style="1" width="2"/>
    <col collapsed="false" customWidth="false" hidden="false" outlineLevel="0" max="16384" min="15" style="1" width="8.67"/>
  </cols>
  <sheetData>
    <row r="1" customFormat="false" ht="15" hidden="false" customHeight="true" outlineLevel="0" collapsed="false">
      <c r="B1" s="53" t="s">
        <v>276</v>
      </c>
    </row>
    <row r="2" customFormat="false" ht="15" hidden="false" customHeight="true" outlineLevel="0" collapsed="false">
      <c r="B2" s="84" t="s">
        <v>277</v>
      </c>
    </row>
    <row r="3" customFormat="false" ht="15" hidden="false" customHeight="true" outlineLevel="0" collapsed="false">
      <c r="B3" s="3" t="s">
        <v>141</v>
      </c>
      <c r="C3" s="54"/>
      <c r="D3" s="54" t="n">
        <f aca="false">C3+1</f>
        <v>1</v>
      </c>
      <c r="E3" s="54" t="n">
        <f aca="false">D3+1</f>
        <v>2</v>
      </c>
      <c r="F3" s="54" t="n">
        <f aca="false">E3+1</f>
        <v>3</v>
      </c>
      <c r="G3" s="54" t="n">
        <f aca="false">F3+1</f>
        <v>4</v>
      </c>
      <c r="H3" s="54" t="n">
        <f aca="false">G3+1</f>
        <v>5</v>
      </c>
      <c r="I3" s="54" t="n">
        <f aca="false">H3+1</f>
        <v>6</v>
      </c>
      <c r="J3" s="54" t="n">
        <f aca="false">I3+1</f>
        <v>7</v>
      </c>
      <c r="K3" s="54" t="n">
        <f aca="false">J3+1</f>
        <v>8</v>
      </c>
      <c r="L3" s="54" t="n">
        <f aca="false">K3+1</f>
        <v>9</v>
      </c>
      <c r="M3" s="54" t="n">
        <f aca="false">L3+1</f>
        <v>10</v>
      </c>
    </row>
    <row r="4" customFormat="false" ht="15" hidden="false" customHeight="true" outlineLevel="0" collapsed="false">
      <c r="B4" s="7" t="s">
        <v>278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customFormat="false" ht="15" hidden="false" customHeight="true" outlineLevel="0" collapsed="false">
      <c r="B5" s="40"/>
      <c r="C5" s="85" t="s">
        <v>267</v>
      </c>
      <c r="D5" s="85" t="s">
        <v>40</v>
      </c>
      <c r="E5" s="85" t="s">
        <v>41</v>
      </c>
      <c r="F5" s="85" t="s">
        <v>42</v>
      </c>
      <c r="G5" s="85" t="s">
        <v>43</v>
      </c>
      <c r="H5" s="85" t="s">
        <v>44</v>
      </c>
      <c r="I5" s="85" t="s">
        <v>45</v>
      </c>
      <c r="J5" s="85" t="s">
        <v>46</v>
      </c>
      <c r="K5" s="85" t="s">
        <v>47</v>
      </c>
      <c r="L5" s="85" t="s">
        <v>48</v>
      </c>
      <c r="M5" s="85" t="s">
        <v>49</v>
      </c>
    </row>
    <row r="6" customFormat="false" ht="15" hidden="false" customHeight="true" outlineLevel="0" collapsed="false">
      <c r="B6" s="27" t="s">
        <v>279</v>
      </c>
      <c r="C6" s="29" t="n">
        <f aca="false">-Assumptions!$C$70</f>
        <v>-0</v>
      </c>
      <c r="D6" s="19" t="n">
        <f aca="false">IF(D$3&gt;Assumptions!$H$15,0,0)</f>
        <v>0</v>
      </c>
      <c r="E6" s="19" t="n">
        <f aca="false">IF(E$3&gt;Assumptions!$H$15,0,0)</f>
        <v>0</v>
      </c>
      <c r="F6" s="19" t="n">
        <f aca="false">IF(F$3&gt;Assumptions!$H$15,0,0)</f>
        <v>0</v>
      </c>
      <c r="G6" s="19" t="n">
        <f aca="false">IF(G$3&gt;Assumptions!$H$15,0,0)</f>
        <v>0</v>
      </c>
      <c r="H6" s="19" t="n">
        <f aca="false">IF(H$3&gt;Assumptions!$H$15,0,0)</f>
        <v>0</v>
      </c>
      <c r="I6" s="19" t="n">
        <f aca="false">IF(I$3&gt;Assumptions!$H$15,0,0)</f>
        <v>0</v>
      </c>
      <c r="J6" s="19" t="n">
        <f aca="false">IF(J$3&gt;Assumptions!$H$15,0,0)</f>
        <v>0</v>
      </c>
      <c r="K6" s="19" t="n">
        <f aca="false">IF(K$3&gt;Assumptions!$H$15,0,0)</f>
        <v>0</v>
      </c>
      <c r="L6" s="19" t="n">
        <f aca="false">IF(L$3&gt;Assumptions!$H$15,0,0)</f>
        <v>0</v>
      </c>
      <c r="M6" s="19" t="n">
        <f aca="false">IF(M$3&gt;Assumptions!$H$15,0,0)</f>
        <v>0</v>
      </c>
    </row>
    <row r="7" customFormat="false" ht="15" hidden="false" customHeight="true" outlineLevel="0" collapsed="false">
      <c r="B7" s="9" t="s">
        <v>280</v>
      </c>
      <c r="C7" s="29" t="n">
        <f aca="false">0</f>
        <v>0</v>
      </c>
      <c r="D7" s="19" t="n">
        <f aca="false">IF(D$3&gt;Assumptions!$H$15,0,'Returns Summary'!D$36+'Returns Summary'!D$37)</f>
        <v>0</v>
      </c>
      <c r="E7" s="19" t="n">
        <f aca="false">IF(E$3&gt;Assumptions!$H$15,0,'Returns Summary'!E$36+'Returns Summary'!E$37)</f>
        <v>0</v>
      </c>
      <c r="F7" s="19" t="n">
        <f aca="false">IF(F$3&gt;Assumptions!$H$15,0,'Returns Summary'!F$36+'Returns Summary'!F$37)</f>
        <v>0</v>
      </c>
      <c r="G7" s="19" t="n">
        <f aca="false">IF(G$3&gt;Assumptions!$H$15,0,'Returns Summary'!G$36+'Returns Summary'!G$37)</f>
        <v>0</v>
      </c>
      <c r="H7" s="19" t="n">
        <f aca="false">IF(H$3&gt;Assumptions!$H$15,0,'Returns Summary'!H$36+'Returns Summary'!H$37)</f>
        <v>0</v>
      </c>
      <c r="I7" s="19" t="n">
        <f aca="false">IF(I$3&gt;Assumptions!$H$15,0,'Returns Summary'!I$36+'Returns Summary'!I$37)</f>
        <v>0</v>
      </c>
      <c r="J7" s="19" t="n">
        <f aca="false">IF(J$3&gt;Assumptions!$H$15,0,'Returns Summary'!J$36+'Returns Summary'!J$37)</f>
        <v>0</v>
      </c>
      <c r="K7" s="19" t="n">
        <f aca="false">IF(K$3&gt;Assumptions!$H$15,0,'Returns Summary'!K$36+'Returns Summary'!K$37)</f>
        <v>0</v>
      </c>
      <c r="L7" s="19" t="n">
        <f aca="false">IF(L$3&gt;Assumptions!$H$15,0,'Returns Summary'!L$36+'Returns Summary'!L$37)</f>
        <v>0</v>
      </c>
      <c r="M7" s="19" t="n">
        <f aca="false">IF(M$3&gt;Assumptions!$H$15,0,'Returns Summary'!M$36+'Returns Summary'!M$37)</f>
        <v>0</v>
      </c>
    </row>
    <row r="10" customFormat="false" ht="15" hidden="false" customHeight="true" outlineLevel="0" collapsed="false">
      <c r="B10" s="7" t="str">
        <f aca="false">"TIER 1 — PREFERRED RETURN ("&amp;TEXT(Assumptions!$C$79,"0%")&amp;")"</f>
        <v>TIER 1 — PREFERRED RETURN (0%)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customFormat="false" ht="15" hidden="false" customHeight="true" outlineLevel="0" collapsed="false">
      <c r="B11" s="9" t="s">
        <v>281</v>
      </c>
      <c r="C11" s="19" t="n">
        <f aca="false">0</f>
        <v>0</v>
      </c>
      <c r="D11" s="19" t="n">
        <f aca="false">IF(D$3&gt;Assumptions!$H$15,0,C15)</f>
        <v>0</v>
      </c>
      <c r="E11" s="19" t="n">
        <f aca="false">IF(E$3&gt;Assumptions!$H$15,0,D15)</f>
        <v>0</v>
      </c>
      <c r="F11" s="19" t="n">
        <f aca="false">IF(F$3&gt;Assumptions!$H$15,0,E15)</f>
        <v>0</v>
      </c>
      <c r="G11" s="19" t="n">
        <f aca="false">IF(G$3&gt;Assumptions!$H$15,0,F15)</f>
        <v>0</v>
      </c>
      <c r="H11" s="19" t="n">
        <f aca="false">IF(H$3&gt;Assumptions!$H$15,0,G15)</f>
        <v>0</v>
      </c>
      <c r="I11" s="19" t="n">
        <f aca="false">IF(I$3&gt;Assumptions!$H$15,0,H15)</f>
        <v>0</v>
      </c>
      <c r="J11" s="19" t="n">
        <f aca="false">IF(J$3&gt;Assumptions!$H$15,0,I15)</f>
        <v>0</v>
      </c>
      <c r="K11" s="19" t="n">
        <f aca="false">IF(K$3&gt;Assumptions!$H$15,0,J15)</f>
        <v>0</v>
      </c>
      <c r="L11" s="19" t="n">
        <f aca="false">IF(L$3&gt;Assumptions!$H$15,0,K15)</f>
        <v>0</v>
      </c>
      <c r="M11" s="19" t="n">
        <f aca="false">IF(M$3&gt;Assumptions!$H$15,0,L15)</f>
        <v>0</v>
      </c>
    </row>
    <row r="12" customFormat="false" ht="15" hidden="false" customHeight="true" outlineLevel="0" collapsed="false">
      <c r="B12" s="9" t="s">
        <v>282</v>
      </c>
      <c r="C12" s="29" t="n">
        <f aca="false">Assumptions!$C$70</f>
        <v>0</v>
      </c>
      <c r="D12" s="19" t="n">
        <f aca="false">IF(D$3&gt;Assumptions!$H$15,0,0)</f>
        <v>0</v>
      </c>
      <c r="E12" s="19" t="n">
        <f aca="false">IF(E$3&gt;Assumptions!$H$15,0,0)</f>
        <v>0</v>
      </c>
      <c r="F12" s="19" t="n">
        <f aca="false">IF(F$3&gt;Assumptions!$H$15,0,0)</f>
        <v>0</v>
      </c>
      <c r="G12" s="19" t="n">
        <f aca="false">IF(G$3&gt;Assumptions!$H$15,0,0)</f>
        <v>0</v>
      </c>
      <c r="H12" s="19" t="n">
        <f aca="false">IF(H$3&gt;Assumptions!$H$15,0,0)</f>
        <v>0</v>
      </c>
      <c r="I12" s="19" t="n">
        <f aca="false">IF(I$3&gt;Assumptions!$H$15,0,0)</f>
        <v>0</v>
      </c>
      <c r="J12" s="19" t="n">
        <f aca="false">IF(J$3&gt;Assumptions!$H$15,0,0)</f>
        <v>0</v>
      </c>
      <c r="K12" s="19" t="n">
        <f aca="false">IF(K$3&gt;Assumptions!$H$15,0,0)</f>
        <v>0</v>
      </c>
      <c r="L12" s="19" t="n">
        <f aca="false">IF(L$3&gt;Assumptions!$H$15,0,0)</f>
        <v>0</v>
      </c>
      <c r="M12" s="19" t="n">
        <f aca="false">IF(M$3&gt;Assumptions!$H$15,0,0)</f>
        <v>0</v>
      </c>
    </row>
    <row r="13" customFormat="false" ht="15" hidden="false" customHeight="true" outlineLevel="0" collapsed="false">
      <c r="B13" s="9" t="s">
        <v>283</v>
      </c>
      <c r="C13" s="19" t="n">
        <f aca="false">0</f>
        <v>0</v>
      </c>
      <c r="D13" s="19" t="n">
        <f aca="false">IF(D$3&gt;Assumptions!$H$15,0,D11*Assumptions!$C$79)</f>
        <v>0</v>
      </c>
      <c r="E13" s="19" t="n">
        <f aca="false">IF(E$3&gt;Assumptions!$H$15,0,E11*Assumptions!$C$79)</f>
        <v>0</v>
      </c>
      <c r="F13" s="19" t="n">
        <f aca="false">IF(F$3&gt;Assumptions!$H$15,0,F11*Assumptions!$C$79)</f>
        <v>0</v>
      </c>
      <c r="G13" s="19" t="n">
        <f aca="false">IF(G$3&gt;Assumptions!$H$15,0,G11*Assumptions!$C$79)</f>
        <v>0</v>
      </c>
      <c r="H13" s="19" t="n">
        <f aca="false">IF(H$3&gt;Assumptions!$H$15,0,H11*Assumptions!$C$79)</f>
        <v>0</v>
      </c>
      <c r="I13" s="19" t="n">
        <f aca="false">IF(I$3&gt;Assumptions!$H$15,0,I11*Assumptions!$C$79)</f>
        <v>0</v>
      </c>
      <c r="J13" s="19" t="n">
        <f aca="false">IF(J$3&gt;Assumptions!$H$15,0,J11*Assumptions!$C$79)</f>
        <v>0</v>
      </c>
      <c r="K13" s="19" t="n">
        <f aca="false">IF(K$3&gt;Assumptions!$H$15,0,K11*Assumptions!$C$79)</f>
        <v>0</v>
      </c>
      <c r="L13" s="19" t="n">
        <f aca="false">IF(L$3&gt;Assumptions!$H$15,0,L11*Assumptions!$C$79)</f>
        <v>0</v>
      </c>
      <c r="M13" s="19" t="n">
        <f aca="false">IF(M$3&gt;Assumptions!$H$15,0,M11*Assumptions!$C$79)</f>
        <v>0</v>
      </c>
    </row>
    <row r="14" customFormat="false" ht="15" hidden="false" customHeight="true" outlineLevel="0" collapsed="false">
      <c r="B14" s="9" t="s">
        <v>284</v>
      </c>
      <c r="C14" s="19" t="n">
        <f aca="false">0</f>
        <v>0</v>
      </c>
      <c r="D14" s="19" t="n">
        <f aca="false">IF(D$3&gt;Assumptions!$H$15,0,MIN(D7,MAX(0,D11+D13)))</f>
        <v>0</v>
      </c>
      <c r="E14" s="19" t="n">
        <f aca="false">IF(E$3&gt;Assumptions!$H$15,0,MIN(E7,MAX(0,E11+E13)))</f>
        <v>0</v>
      </c>
      <c r="F14" s="19" t="n">
        <f aca="false">IF(F$3&gt;Assumptions!$H$15,0,MIN(F7,MAX(0,F11+F13)))</f>
        <v>0</v>
      </c>
      <c r="G14" s="19" t="n">
        <f aca="false">IF(G$3&gt;Assumptions!$H$15,0,MIN(G7,MAX(0,G11+G13)))</f>
        <v>0</v>
      </c>
      <c r="H14" s="19" t="n">
        <f aca="false">IF(H$3&gt;Assumptions!$H$15,0,MIN(H7,MAX(0,H11+H13)))</f>
        <v>0</v>
      </c>
      <c r="I14" s="19" t="n">
        <f aca="false">IF(I$3&gt;Assumptions!$H$15,0,MIN(I7,MAX(0,I11+I13)))</f>
        <v>0</v>
      </c>
      <c r="J14" s="19" t="n">
        <f aca="false">IF(J$3&gt;Assumptions!$H$15,0,MIN(J7,MAX(0,J11+J13)))</f>
        <v>0</v>
      </c>
      <c r="K14" s="19" t="n">
        <f aca="false">IF(K$3&gt;Assumptions!$H$15,0,MIN(K7,MAX(0,K11+K13)))</f>
        <v>0</v>
      </c>
      <c r="L14" s="19" t="n">
        <f aca="false">IF(L$3&gt;Assumptions!$H$15,0,MIN(L7,MAX(0,L11+L13)))</f>
        <v>0</v>
      </c>
      <c r="M14" s="19" t="n">
        <f aca="false">IF(M$3&gt;Assumptions!$H$15,0,MIN(M7,MAX(0,M11+M13)))</f>
        <v>0</v>
      </c>
    </row>
    <row r="15" customFormat="false" ht="15" hidden="false" customHeight="true" outlineLevel="0" collapsed="false">
      <c r="B15" s="38" t="s">
        <v>285</v>
      </c>
      <c r="C15" s="86" t="n">
        <f aca="false">C11+C12+C13-C14</f>
        <v>0</v>
      </c>
      <c r="D15" s="86" t="n">
        <f aca="false">IF(D$3&gt;Assumptions!$H$15,0,MAX(0,D11+D13-D14))</f>
        <v>0</v>
      </c>
      <c r="E15" s="86" t="n">
        <f aca="false">IF(E$3&gt;Assumptions!$H$15,0,MAX(0,E11+E13-E14))</f>
        <v>0</v>
      </c>
      <c r="F15" s="86" t="n">
        <f aca="false">IF(F$3&gt;Assumptions!$H$15,0,MAX(0,F11+F13-F14))</f>
        <v>0</v>
      </c>
      <c r="G15" s="86" t="n">
        <f aca="false">IF(G$3&gt;Assumptions!$H$15,0,MAX(0,G11+G13-G14))</f>
        <v>0</v>
      </c>
      <c r="H15" s="86" t="n">
        <f aca="false">IF(H$3&gt;Assumptions!$H$15,0,MAX(0,H11+H13-H14))</f>
        <v>0</v>
      </c>
      <c r="I15" s="86" t="n">
        <f aca="false">IF(I$3&gt;Assumptions!$H$15,0,MAX(0,I11+I13-I14))</f>
        <v>0</v>
      </c>
      <c r="J15" s="86" t="n">
        <f aca="false">IF(J$3&gt;Assumptions!$H$15,0,MAX(0,J11+J13-J14))</f>
        <v>0</v>
      </c>
      <c r="K15" s="86" t="n">
        <f aca="false">IF(K$3&gt;Assumptions!$H$15,0,MAX(0,K11+K13-K14))</f>
        <v>0</v>
      </c>
      <c r="L15" s="86" t="n">
        <f aca="false">IF(L$3&gt;Assumptions!$H$15,0,MAX(0,L11+L13-L14))</f>
        <v>0</v>
      </c>
      <c r="M15" s="86" t="n">
        <f aca="false">IF(M$3&gt;Assumptions!$H$15,0,MAX(0,M11+M13-M14))</f>
        <v>0</v>
      </c>
    </row>
    <row r="17" customFormat="false" ht="15" hidden="false" customHeight="true" outlineLevel="0" collapsed="false">
      <c r="B17" s="27" t="s">
        <v>286</v>
      </c>
      <c r="C17" s="19" t="n">
        <f aca="false">0</f>
        <v>0</v>
      </c>
      <c r="D17" s="19" t="n">
        <f aca="false">IF(D$3&gt;Assumptions!$H$15,0,D14)</f>
        <v>0</v>
      </c>
      <c r="E17" s="19" t="n">
        <f aca="false">IF(E$3&gt;Assumptions!$H$15,0,E14)</f>
        <v>0</v>
      </c>
      <c r="F17" s="19" t="n">
        <f aca="false">IF(F$3&gt;Assumptions!$H$15,0,F14)</f>
        <v>0</v>
      </c>
      <c r="G17" s="19" t="n">
        <f aca="false">IF(G$3&gt;Assumptions!$H$15,0,G14)</f>
        <v>0</v>
      </c>
      <c r="H17" s="19" t="n">
        <f aca="false">IF(H$3&gt;Assumptions!$H$15,0,H14)</f>
        <v>0</v>
      </c>
      <c r="I17" s="19" t="n">
        <f aca="false">IF(I$3&gt;Assumptions!$H$15,0,I14)</f>
        <v>0</v>
      </c>
      <c r="J17" s="19" t="n">
        <f aca="false">IF(J$3&gt;Assumptions!$H$15,0,J14)</f>
        <v>0</v>
      </c>
      <c r="K17" s="19" t="n">
        <f aca="false">IF(K$3&gt;Assumptions!$H$15,0,K14)</f>
        <v>0</v>
      </c>
      <c r="L17" s="19" t="n">
        <f aca="false">IF(L$3&gt;Assumptions!$H$15,0,L14)</f>
        <v>0</v>
      </c>
      <c r="M17" s="19" t="n">
        <f aca="false">IF(M$3&gt;Assumptions!$H$15,0,M14)</f>
        <v>0</v>
      </c>
    </row>
    <row r="18" customFormat="false" ht="15" hidden="false" customHeight="true" outlineLevel="0" collapsed="false">
      <c r="B18" s="9" t="s">
        <v>287</v>
      </c>
      <c r="C18" s="29" t="n">
        <f aca="false">-Assumptions!$C$70</f>
        <v>-0</v>
      </c>
      <c r="D18" s="19" t="n">
        <f aca="false">IF(D$3&gt;Assumptions!$H$15,0,D17)</f>
        <v>0</v>
      </c>
      <c r="E18" s="19" t="n">
        <f aca="false">IF(E$3&gt;Assumptions!$H$15,0,E17)</f>
        <v>0</v>
      </c>
      <c r="F18" s="19" t="n">
        <f aca="false">IF(F$3&gt;Assumptions!$H$15,0,F17)</f>
        <v>0</v>
      </c>
      <c r="G18" s="19" t="n">
        <f aca="false">IF(G$3&gt;Assumptions!$H$15,0,G17)</f>
        <v>0</v>
      </c>
      <c r="H18" s="19" t="n">
        <f aca="false">IF(H$3&gt;Assumptions!$H$15,0,H17)</f>
        <v>0</v>
      </c>
      <c r="I18" s="19" t="n">
        <f aca="false">IF(I$3&gt;Assumptions!$H$15,0,I17)</f>
        <v>0</v>
      </c>
      <c r="J18" s="19" t="n">
        <f aca="false">IF(J$3&gt;Assumptions!$H$15,0,J17)</f>
        <v>0</v>
      </c>
      <c r="K18" s="19" t="n">
        <f aca="false">IF(K$3&gt;Assumptions!$H$15,0,K17)</f>
        <v>0</v>
      </c>
      <c r="L18" s="19" t="n">
        <f aca="false">IF(L$3&gt;Assumptions!$H$15,0,L17)</f>
        <v>0</v>
      </c>
      <c r="M18" s="19" t="n">
        <f aca="false">IF(M$3&gt;Assumptions!$H$15,0,M17)</f>
        <v>0</v>
      </c>
    </row>
    <row r="19" customFormat="false" ht="15" hidden="false" customHeight="true" outlineLevel="0" collapsed="false">
      <c r="B19" s="9" t="s">
        <v>288</v>
      </c>
      <c r="C19" s="82" t="str">
        <f aca="false">""</f>
        <v/>
      </c>
      <c r="D19" s="33" t="str">
        <f aca="false">IF(D$3=Assumptions!$H$15,IFERROR(IRR($C$18:D18),"—"),"")</f>
        <v/>
      </c>
      <c r="E19" s="33" t="str">
        <f aca="false">IF(E$3=Assumptions!$H$15,IFERROR(IRR($C$18:E18),"—"),"")</f>
        <v/>
      </c>
      <c r="F19" s="33" t="str">
        <f aca="false">IF(F$3=Assumptions!$H$15,IFERROR(IRR($C$18:F18),"—"),"")</f>
        <v/>
      </c>
      <c r="G19" s="33" t="str">
        <f aca="false">IF(G$3=Assumptions!$H$15,IFERROR(IRR($C$18:G18),"—"),"")</f>
        <v/>
      </c>
      <c r="H19" s="33" t="str">
        <f aca="false">IF(H$3=Assumptions!$H$15,IFERROR(IRR($C$18:H18),"—"),"")</f>
        <v/>
      </c>
      <c r="I19" s="33" t="str">
        <f aca="false">IF(I$3=Assumptions!$H$15,IFERROR(IRR($C$18:I18),"—"),"")</f>
        <v/>
      </c>
      <c r="J19" s="33" t="str">
        <f aca="false">IF(J$3=Assumptions!$H$15,IFERROR(IRR($C$18:J18),"—"),"")</f>
        <v/>
      </c>
      <c r="K19" s="33" t="str">
        <f aca="false">IF(K$3=Assumptions!$H$15,IFERROR(IRR($C$18:K18),"—"),"")</f>
        <v/>
      </c>
      <c r="L19" s="33" t="str">
        <f aca="false">IF(L$3=Assumptions!$H$15,IFERROR(IRR($C$18:L18),"—"),"")</f>
        <v/>
      </c>
      <c r="M19" s="33" t="str">
        <f aca="false">IF(M$3=Assumptions!$H$15,IFERROR(IRR($C$18:M18),"—"),"")</f>
        <v/>
      </c>
    </row>
    <row r="20" customFormat="false" ht="15" hidden="false" customHeight="true" outlineLevel="0" collapsed="false">
      <c r="B20" s="38" t="s">
        <v>289</v>
      </c>
      <c r="C20" s="86" t="n">
        <f aca="false">0</f>
        <v>0</v>
      </c>
      <c r="D20" s="86" t="n">
        <f aca="false">IF(D$3&gt;Assumptions!$H$15,0,D7-D14)</f>
        <v>0</v>
      </c>
      <c r="E20" s="86" t="n">
        <f aca="false">IF(E$3&gt;Assumptions!$H$15,0,E7-E14)</f>
        <v>0</v>
      </c>
      <c r="F20" s="86" t="n">
        <f aca="false">IF(F$3&gt;Assumptions!$H$15,0,F7-F14)</f>
        <v>0</v>
      </c>
      <c r="G20" s="86" t="n">
        <f aca="false">IF(G$3&gt;Assumptions!$H$15,0,G7-G14)</f>
        <v>0</v>
      </c>
      <c r="H20" s="86" t="n">
        <f aca="false">IF(H$3&gt;Assumptions!$H$15,0,H7-H14)</f>
        <v>0</v>
      </c>
      <c r="I20" s="86" t="n">
        <f aca="false">IF(I$3&gt;Assumptions!$H$15,0,I7-I14)</f>
        <v>0</v>
      </c>
      <c r="J20" s="86" t="n">
        <f aca="false">IF(J$3&gt;Assumptions!$H$15,0,J7-J14)</f>
        <v>0</v>
      </c>
      <c r="K20" s="86" t="n">
        <f aca="false">IF(K$3&gt;Assumptions!$H$15,0,K7-K14)</f>
        <v>0</v>
      </c>
      <c r="L20" s="86" t="n">
        <f aca="false">IF(L$3&gt;Assumptions!$H$15,0,L7-L14)</f>
        <v>0</v>
      </c>
      <c r="M20" s="86" t="n">
        <f aca="false">IF(M$3&gt;Assumptions!$H$15,0,M7-M14)</f>
        <v>0</v>
      </c>
    </row>
    <row r="21" customFormat="false" ht="15.75" hidden="false" customHeight="true" outlineLevel="0" collapsed="false"/>
    <row r="22" customFormat="false" ht="15" hidden="false" customHeight="true" outlineLevel="0" collapsed="false">
      <c r="B22" s="7" t="str">
        <f aca="false">"TIER 2 — FIRST PROMOTE ("&amp;TEXT(Assumptions!$C$80,"0%")&amp;" IRR / "&amp;TEXT(Assumptions!$C$81,"0%")&amp;" Promote)"</f>
        <v>TIER 2 — FIRST PROMOTE (0% IRR / 0% Promote)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customFormat="false" ht="15" hidden="false" customHeight="true" outlineLevel="0" collapsed="false">
      <c r="B23" s="9" t="s">
        <v>281</v>
      </c>
      <c r="C23" s="19" t="n">
        <f aca="false">0</f>
        <v>0</v>
      </c>
      <c r="D23" s="19" t="n">
        <f aca="false">IF(D$3&gt;Assumptions!$H$15,0,C28)</f>
        <v>0</v>
      </c>
      <c r="E23" s="19" t="n">
        <f aca="false">IF(E$3&gt;Assumptions!$H$15,0,D28)</f>
        <v>0</v>
      </c>
      <c r="F23" s="19" t="n">
        <f aca="false">IF(F$3&gt;Assumptions!$H$15,0,E28)</f>
        <v>0</v>
      </c>
      <c r="G23" s="19" t="n">
        <f aca="false">IF(G$3&gt;Assumptions!$H$15,0,F28)</f>
        <v>0</v>
      </c>
      <c r="H23" s="19" t="n">
        <f aca="false">IF(H$3&gt;Assumptions!$H$15,0,G28)</f>
        <v>0</v>
      </c>
      <c r="I23" s="19" t="n">
        <f aca="false">IF(I$3&gt;Assumptions!$H$15,0,H28)</f>
        <v>0</v>
      </c>
      <c r="J23" s="19" t="n">
        <f aca="false">IF(J$3&gt;Assumptions!$H$15,0,I28)</f>
        <v>0</v>
      </c>
      <c r="K23" s="19" t="n">
        <f aca="false">IF(K$3&gt;Assumptions!$H$15,0,J28)</f>
        <v>0</v>
      </c>
      <c r="L23" s="19" t="n">
        <f aca="false">IF(L$3&gt;Assumptions!$H$15,0,K28)</f>
        <v>0</v>
      </c>
      <c r="M23" s="19" t="n">
        <f aca="false">IF(M$3&gt;Assumptions!$H$15,0,L28)</f>
        <v>0</v>
      </c>
    </row>
    <row r="24" customFormat="false" ht="15" hidden="false" customHeight="true" outlineLevel="0" collapsed="false">
      <c r="B24" s="9" t="s">
        <v>282</v>
      </c>
      <c r="C24" s="29" t="n">
        <f aca="false">Assumptions!$C$70</f>
        <v>0</v>
      </c>
      <c r="D24" s="19" t="n">
        <f aca="false">IF(D$3&gt;Assumptions!$H$15,0,0)</f>
        <v>0</v>
      </c>
      <c r="E24" s="19" t="n">
        <f aca="false">IF(E$3&gt;Assumptions!$H$15,0,0)</f>
        <v>0</v>
      </c>
      <c r="F24" s="19" t="n">
        <f aca="false">IF(F$3&gt;Assumptions!$H$15,0,0)</f>
        <v>0</v>
      </c>
      <c r="G24" s="19" t="n">
        <f aca="false">IF(G$3&gt;Assumptions!$H$15,0,0)</f>
        <v>0</v>
      </c>
      <c r="H24" s="19" t="n">
        <f aca="false">IF(H$3&gt;Assumptions!$H$15,0,0)</f>
        <v>0</v>
      </c>
      <c r="I24" s="19" t="n">
        <f aca="false">IF(I$3&gt;Assumptions!$H$15,0,0)</f>
        <v>0</v>
      </c>
      <c r="J24" s="19" t="n">
        <f aca="false">IF(J$3&gt;Assumptions!$H$15,0,0)</f>
        <v>0</v>
      </c>
      <c r="K24" s="19" t="n">
        <f aca="false">IF(K$3&gt;Assumptions!$H$15,0,0)</f>
        <v>0</v>
      </c>
      <c r="L24" s="19" t="n">
        <f aca="false">IF(L$3&gt;Assumptions!$H$15,0,0)</f>
        <v>0</v>
      </c>
      <c r="M24" s="19" t="n">
        <f aca="false">IF(M$3&gt;Assumptions!$H$15,0,0)</f>
        <v>0</v>
      </c>
    </row>
    <row r="25" customFormat="false" ht="15" hidden="false" customHeight="true" outlineLevel="0" collapsed="false">
      <c r="B25" s="9" t="s">
        <v>290</v>
      </c>
      <c r="C25" s="19" t="n">
        <f aca="false">0</f>
        <v>0</v>
      </c>
      <c r="D25" s="19" t="n">
        <f aca="false">IF(D$3&gt;Assumptions!$H$15,0,D23*Assumptions!$C$80)</f>
        <v>0</v>
      </c>
      <c r="E25" s="19" t="n">
        <f aca="false">IF(E$3&gt;Assumptions!$H$15,0,E23*Assumptions!$C$80)</f>
        <v>0</v>
      </c>
      <c r="F25" s="19" t="n">
        <f aca="false">IF(F$3&gt;Assumptions!$H$15,0,F23*Assumptions!$C$80)</f>
        <v>0</v>
      </c>
      <c r="G25" s="19" t="n">
        <f aca="false">IF(G$3&gt;Assumptions!$H$15,0,G23*Assumptions!$C$80)</f>
        <v>0</v>
      </c>
      <c r="H25" s="19" t="n">
        <f aca="false">IF(H$3&gt;Assumptions!$H$15,0,H23*Assumptions!$C$80)</f>
        <v>0</v>
      </c>
      <c r="I25" s="19" t="n">
        <f aca="false">IF(I$3&gt;Assumptions!$H$15,0,I23*Assumptions!$C$80)</f>
        <v>0</v>
      </c>
      <c r="J25" s="19" t="n">
        <f aca="false">IF(J$3&gt;Assumptions!$H$15,0,J23*Assumptions!$C$80)</f>
        <v>0</v>
      </c>
      <c r="K25" s="19" t="n">
        <f aca="false">IF(K$3&gt;Assumptions!$H$15,0,K23*Assumptions!$C$80)</f>
        <v>0</v>
      </c>
      <c r="L25" s="19" t="n">
        <f aca="false">IF(L$3&gt;Assumptions!$H$15,0,L23*Assumptions!$C$80)</f>
        <v>0</v>
      </c>
      <c r="M25" s="19" t="n">
        <f aca="false">IF(M$3&gt;Assumptions!$H$15,0,M23*Assumptions!$C$80)</f>
        <v>0</v>
      </c>
    </row>
    <row r="26" customFormat="false" ht="15" hidden="false" customHeight="true" outlineLevel="0" collapsed="false">
      <c r="B26" s="9" t="s">
        <v>291</v>
      </c>
      <c r="C26" s="19" t="n">
        <f aca="false">0</f>
        <v>0</v>
      </c>
      <c r="D26" s="19" t="n">
        <f aca="false">IF(D$3&gt;Assumptions!$H$15,0,D17)</f>
        <v>0</v>
      </c>
      <c r="E26" s="19" t="n">
        <f aca="false">IF(E$3&gt;Assumptions!$H$15,0,E17)</f>
        <v>0</v>
      </c>
      <c r="F26" s="19" t="n">
        <f aca="false">IF(F$3&gt;Assumptions!$H$15,0,F17)</f>
        <v>0</v>
      </c>
      <c r="G26" s="19" t="n">
        <f aca="false">IF(G$3&gt;Assumptions!$H$15,0,G17)</f>
        <v>0</v>
      </c>
      <c r="H26" s="19" t="n">
        <f aca="false">IF(H$3&gt;Assumptions!$H$15,0,H17)</f>
        <v>0</v>
      </c>
      <c r="I26" s="19" t="n">
        <f aca="false">IF(I$3&gt;Assumptions!$H$15,0,I17)</f>
        <v>0</v>
      </c>
      <c r="J26" s="19" t="n">
        <f aca="false">IF(J$3&gt;Assumptions!$H$15,0,J17)</f>
        <v>0</v>
      </c>
      <c r="K26" s="19" t="n">
        <f aca="false">IF(K$3&gt;Assumptions!$H$15,0,K17)</f>
        <v>0</v>
      </c>
      <c r="L26" s="19" t="n">
        <f aca="false">IF(L$3&gt;Assumptions!$H$15,0,L17)</f>
        <v>0</v>
      </c>
      <c r="M26" s="19" t="n">
        <f aca="false">IF(M$3&gt;Assumptions!$H$15,0,M17)</f>
        <v>0</v>
      </c>
    </row>
    <row r="27" customFormat="false" ht="15" hidden="false" customHeight="true" outlineLevel="0" collapsed="false">
      <c r="B27" s="9" t="s">
        <v>292</v>
      </c>
      <c r="C27" s="19" t="n">
        <f aca="false">0</f>
        <v>0</v>
      </c>
      <c r="D27" s="19" t="n">
        <f aca="false">IF(D$3&gt;Assumptions!$H$15,0,IF(Assumptions!$C$81&gt;=1,0,MIN(D20,MAX(0,D23+D25-D26)/(1-Assumptions!$C$81))))</f>
        <v>0</v>
      </c>
      <c r="E27" s="19" t="n">
        <f aca="false">IF(E$3&gt;Assumptions!$H$15,0,IF(Assumptions!$C$81&gt;=1,0,MIN(E20,MAX(0,E23+E25-E26)/(1-Assumptions!$C$81))))</f>
        <v>0</v>
      </c>
      <c r="F27" s="19" t="n">
        <f aca="false">IF(F$3&gt;Assumptions!$H$15,0,IF(Assumptions!$C$81&gt;=1,0,MIN(F20,MAX(0,F23+F25-F26)/(1-Assumptions!$C$81))))</f>
        <v>0</v>
      </c>
      <c r="G27" s="19" t="n">
        <f aca="false">IF(G$3&gt;Assumptions!$H$15,0,IF(Assumptions!$C$81&gt;=1,0,MIN(G20,MAX(0,G23+G25-G26)/(1-Assumptions!$C$81))))</f>
        <v>0</v>
      </c>
      <c r="H27" s="19" t="n">
        <f aca="false">IF(H$3&gt;Assumptions!$H$15,0,IF(Assumptions!$C$81&gt;=1,0,MIN(H20,MAX(0,H23+H25-H26)/(1-Assumptions!$C$81))))</f>
        <v>0</v>
      </c>
      <c r="I27" s="19" t="n">
        <f aca="false">IF(I$3&gt;Assumptions!$H$15,0,IF(Assumptions!$C$81&gt;=1,0,MIN(I20,MAX(0,I23+I25-I26)/(1-Assumptions!$C$81))))</f>
        <v>0</v>
      </c>
      <c r="J27" s="19" t="n">
        <f aca="false">IF(J$3&gt;Assumptions!$H$15,0,IF(Assumptions!$C$81&gt;=1,0,MIN(J20,MAX(0,J23+J25-J26)/(1-Assumptions!$C$81))))</f>
        <v>0</v>
      </c>
      <c r="K27" s="19" t="n">
        <f aca="false">IF(K$3&gt;Assumptions!$H$15,0,IF(Assumptions!$C$81&gt;=1,0,MIN(K20,MAX(0,K23+K25-K26)/(1-Assumptions!$C$81))))</f>
        <v>0</v>
      </c>
      <c r="L27" s="19" t="n">
        <f aca="false">IF(L$3&gt;Assumptions!$H$15,0,IF(Assumptions!$C$81&gt;=1,0,MIN(L20,MAX(0,L23+L25-L26)/(1-Assumptions!$C$81))))</f>
        <v>0</v>
      </c>
      <c r="M27" s="19" t="n">
        <f aca="false">IF(M$3&gt;Assumptions!$H$15,0,IF(Assumptions!$C$81&gt;=1,0,MIN(M20,MAX(0,M23+M25-M26)/(1-Assumptions!$C$81))))</f>
        <v>0</v>
      </c>
    </row>
    <row r="28" customFormat="false" ht="15" hidden="false" customHeight="true" outlineLevel="0" collapsed="false">
      <c r="B28" s="38" t="s">
        <v>285</v>
      </c>
      <c r="C28" s="86" t="n">
        <f aca="false">C23+C24+C25-C26-C27</f>
        <v>0</v>
      </c>
      <c r="D28" s="86" t="n">
        <f aca="false">IF(D$3&gt;Assumptions!$H$15,0,MAX(0,D23+D25-D26-D27*(1-Assumptions!$C$81)))</f>
        <v>0</v>
      </c>
      <c r="E28" s="86" t="n">
        <f aca="false">IF(E$3&gt;Assumptions!$H$15,0,MAX(0,E23+E25-E26-E27*(1-Assumptions!$C$81)))</f>
        <v>0</v>
      </c>
      <c r="F28" s="86" t="n">
        <f aca="false">IF(F$3&gt;Assumptions!$H$15,0,MAX(0,F23+F25-F26-F27*(1-Assumptions!$C$81)))</f>
        <v>0</v>
      </c>
      <c r="G28" s="86" t="n">
        <f aca="false">IF(G$3&gt;Assumptions!$H$15,0,MAX(0,G23+G25-G26-G27*(1-Assumptions!$C$81)))</f>
        <v>0</v>
      </c>
      <c r="H28" s="86" t="n">
        <f aca="false">IF(H$3&gt;Assumptions!$H$15,0,MAX(0,H23+H25-H26-H27*(1-Assumptions!$C$81)))</f>
        <v>0</v>
      </c>
      <c r="I28" s="86" t="n">
        <f aca="false">IF(I$3&gt;Assumptions!$H$15,0,MAX(0,I23+I25-I26-I27*(1-Assumptions!$C$81)))</f>
        <v>0</v>
      </c>
      <c r="J28" s="86" t="n">
        <f aca="false">IF(J$3&gt;Assumptions!$H$15,0,MAX(0,J23+J25-J26-J27*(1-Assumptions!$C$81)))</f>
        <v>0</v>
      </c>
      <c r="K28" s="86" t="n">
        <f aca="false">IF(K$3&gt;Assumptions!$H$15,0,MAX(0,K23+K25-K26-K27*(1-Assumptions!$C$81)))</f>
        <v>0</v>
      </c>
      <c r="L28" s="86" t="n">
        <f aca="false">IF(L$3&gt;Assumptions!$H$15,0,MAX(0,L23+L25-L26-L27*(1-Assumptions!$C$81)))</f>
        <v>0</v>
      </c>
      <c r="M28" s="86" t="n">
        <f aca="false">IF(M$3&gt;Assumptions!$H$15,0,MAX(0,M23+M25-M26-M27*(1-Assumptions!$C$81)))</f>
        <v>0</v>
      </c>
    </row>
    <row r="30" customFormat="false" ht="15" hidden="false" customHeight="true" outlineLevel="0" collapsed="false">
      <c r="B30" s="27" t="s">
        <v>293</v>
      </c>
      <c r="C30" s="19" t="n">
        <f aca="false">0</f>
        <v>0</v>
      </c>
      <c r="D30" s="19" t="n">
        <f aca="false">IF(D$3&gt;Assumptions!$H$15,0,D27*(1-Assumptions!$C$81))</f>
        <v>0</v>
      </c>
      <c r="E30" s="19" t="n">
        <f aca="false">IF(E$3&gt;Assumptions!$H$15,0,E27*(1-Assumptions!$C$81))</f>
        <v>0</v>
      </c>
      <c r="F30" s="19" t="n">
        <f aca="false">IF(F$3&gt;Assumptions!$H$15,0,F27*(1-Assumptions!$C$81))</f>
        <v>0</v>
      </c>
      <c r="G30" s="19" t="n">
        <f aca="false">IF(G$3&gt;Assumptions!$H$15,0,G27*(1-Assumptions!$C$81))</f>
        <v>0</v>
      </c>
      <c r="H30" s="19" t="n">
        <f aca="false">IF(H$3&gt;Assumptions!$H$15,0,H27*(1-Assumptions!$C$81))</f>
        <v>0</v>
      </c>
      <c r="I30" s="19" t="n">
        <f aca="false">IF(I$3&gt;Assumptions!$H$15,0,I27*(1-Assumptions!$C$81))</f>
        <v>0</v>
      </c>
      <c r="J30" s="19" t="n">
        <f aca="false">IF(J$3&gt;Assumptions!$H$15,0,J27*(1-Assumptions!$C$81))</f>
        <v>0</v>
      </c>
      <c r="K30" s="19" t="n">
        <f aca="false">IF(K$3&gt;Assumptions!$H$15,0,K27*(1-Assumptions!$C$81))</f>
        <v>0</v>
      </c>
      <c r="L30" s="19" t="n">
        <f aca="false">IF(L$3&gt;Assumptions!$H$15,0,L27*(1-Assumptions!$C$81))</f>
        <v>0</v>
      </c>
      <c r="M30" s="19" t="n">
        <f aca="false">IF(M$3&gt;Assumptions!$H$15,0,M27*(1-Assumptions!$C$81))</f>
        <v>0</v>
      </c>
    </row>
    <row r="31" customFormat="false" ht="15" hidden="false" customHeight="true" outlineLevel="0" collapsed="false">
      <c r="B31" s="27" t="s">
        <v>294</v>
      </c>
      <c r="C31" s="19" t="n">
        <f aca="false">0</f>
        <v>0</v>
      </c>
      <c r="D31" s="19" t="n">
        <f aca="false">IF(D$3&gt;Assumptions!$H$15,0,D27*Assumptions!$C$81)</f>
        <v>0</v>
      </c>
      <c r="E31" s="19" t="n">
        <f aca="false">IF(E$3&gt;Assumptions!$H$15,0,E27*Assumptions!$C$81)</f>
        <v>0</v>
      </c>
      <c r="F31" s="19" t="n">
        <f aca="false">IF(F$3&gt;Assumptions!$H$15,0,F27*Assumptions!$C$81)</f>
        <v>0</v>
      </c>
      <c r="G31" s="19" t="n">
        <f aca="false">IF(G$3&gt;Assumptions!$H$15,0,G27*Assumptions!$C$81)</f>
        <v>0</v>
      </c>
      <c r="H31" s="19" t="n">
        <f aca="false">IF(H$3&gt;Assumptions!$H$15,0,H27*Assumptions!$C$81)</f>
        <v>0</v>
      </c>
      <c r="I31" s="19" t="n">
        <f aca="false">IF(I$3&gt;Assumptions!$H$15,0,I27*Assumptions!$C$81)</f>
        <v>0</v>
      </c>
      <c r="J31" s="19" t="n">
        <f aca="false">IF(J$3&gt;Assumptions!$H$15,0,J27*Assumptions!$C$81)</f>
        <v>0</v>
      </c>
      <c r="K31" s="19" t="n">
        <f aca="false">IF(K$3&gt;Assumptions!$H$15,0,K27*Assumptions!$C$81)</f>
        <v>0</v>
      </c>
      <c r="L31" s="19" t="n">
        <f aca="false">IF(L$3&gt;Assumptions!$H$15,0,L27*Assumptions!$C$81)</f>
        <v>0</v>
      </c>
      <c r="M31" s="19" t="n">
        <f aca="false">IF(M$3&gt;Assumptions!$H$15,0,M27*Assumptions!$C$81)</f>
        <v>0</v>
      </c>
    </row>
    <row r="32" customFormat="false" ht="15" hidden="false" customHeight="true" outlineLevel="0" collapsed="false">
      <c r="B32" s="9" t="s">
        <v>287</v>
      </c>
      <c r="C32" s="29" t="n">
        <f aca="false">-Assumptions!$C$70</f>
        <v>-0</v>
      </c>
      <c r="D32" s="19" t="n">
        <f aca="false">IF(D$3&gt;Assumptions!$H$15,0,D17+D30)</f>
        <v>0</v>
      </c>
      <c r="E32" s="19" t="n">
        <f aca="false">IF(E$3&gt;Assumptions!$H$15,0,E17+E30)</f>
        <v>0</v>
      </c>
      <c r="F32" s="19" t="n">
        <f aca="false">IF(F$3&gt;Assumptions!$H$15,0,F17+F30)</f>
        <v>0</v>
      </c>
      <c r="G32" s="19" t="n">
        <f aca="false">IF(G$3&gt;Assumptions!$H$15,0,G17+G30)</f>
        <v>0</v>
      </c>
      <c r="H32" s="19" t="n">
        <f aca="false">IF(H$3&gt;Assumptions!$H$15,0,H17+H30)</f>
        <v>0</v>
      </c>
      <c r="I32" s="19" t="n">
        <f aca="false">IF(I$3&gt;Assumptions!$H$15,0,I17+I30)</f>
        <v>0</v>
      </c>
      <c r="J32" s="19" t="n">
        <f aca="false">IF(J$3&gt;Assumptions!$H$15,0,J17+J30)</f>
        <v>0</v>
      </c>
      <c r="K32" s="19" t="n">
        <f aca="false">IF(K$3&gt;Assumptions!$H$15,0,K17+K30)</f>
        <v>0</v>
      </c>
      <c r="L32" s="19" t="n">
        <f aca="false">IF(L$3&gt;Assumptions!$H$15,0,L17+L30)</f>
        <v>0</v>
      </c>
      <c r="M32" s="19" t="n">
        <f aca="false">IF(M$3&gt;Assumptions!$H$15,0,M17+M30)</f>
        <v>0</v>
      </c>
    </row>
    <row r="33" customFormat="false" ht="15" hidden="false" customHeight="true" outlineLevel="0" collapsed="false">
      <c r="B33" s="9" t="s">
        <v>288</v>
      </c>
      <c r="C33" s="33" t="str">
        <f aca="false">""</f>
        <v/>
      </c>
      <c r="D33" s="33" t="str">
        <f aca="false">IF(D$3=Assumptions!$H$15,IFERROR(IRR($C$32:D32),"—"),"")</f>
        <v/>
      </c>
      <c r="E33" s="33" t="str">
        <f aca="false">IF(E$3=Assumptions!$H$15,IFERROR(IRR($C$32:E32),"—"),"")</f>
        <v/>
      </c>
      <c r="F33" s="33" t="str">
        <f aca="false">IF(F$3=Assumptions!$H$15,IFERROR(IRR($C$32:F32),"—"),"")</f>
        <v/>
      </c>
      <c r="G33" s="33" t="str">
        <f aca="false">IF(G$3=Assumptions!$H$15,IFERROR(IRR($C$32:G32),"—"),"")</f>
        <v/>
      </c>
      <c r="H33" s="33" t="str">
        <f aca="false">IF(H$3=Assumptions!$H$15,IFERROR(IRR($C$32:H32),"—"),"")</f>
        <v/>
      </c>
      <c r="I33" s="33" t="str">
        <f aca="false">IF(I$3=Assumptions!$H$15,IFERROR(IRR($C$32:I32),"—"),"")</f>
        <v/>
      </c>
      <c r="J33" s="33" t="str">
        <f aca="false">IF(J$3=Assumptions!$H$15,IFERROR(IRR($C$32:J32),"—"),"")</f>
        <v/>
      </c>
      <c r="K33" s="33" t="str">
        <f aca="false">IF(K$3=Assumptions!$H$15,IFERROR(IRR($C$32:K32),"—"),"")</f>
        <v/>
      </c>
      <c r="L33" s="33" t="str">
        <f aca="false">IF(L$3=Assumptions!$H$15,IFERROR(IRR($C$32:L32),"—"),"")</f>
        <v/>
      </c>
      <c r="M33" s="33" t="str">
        <f aca="false">IF(M$3=Assumptions!$H$15,IFERROR(IRR($C$32:M32),"—"),"")</f>
        <v/>
      </c>
    </row>
    <row r="34" customFormat="false" ht="15" hidden="false" customHeight="true" outlineLevel="0" collapsed="false">
      <c r="B34" s="38" t="s">
        <v>289</v>
      </c>
      <c r="C34" s="86" t="n">
        <f aca="false">0</f>
        <v>0</v>
      </c>
      <c r="D34" s="86" t="n">
        <f aca="false">IF(D$3&gt;Assumptions!$H$15,0,D20-D27)</f>
        <v>0</v>
      </c>
      <c r="E34" s="86" t="n">
        <f aca="false">IF(E$3&gt;Assumptions!$H$15,0,E20-E27)</f>
        <v>0</v>
      </c>
      <c r="F34" s="86" t="n">
        <f aca="false">IF(F$3&gt;Assumptions!$H$15,0,F20-F27)</f>
        <v>0</v>
      </c>
      <c r="G34" s="86" t="n">
        <f aca="false">IF(G$3&gt;Assumptions!$H$15,0,G20-G27)</f>
        <v>0</v>
      </c>
      <c r="H34" s="86" t="n">
        <f aca="false">IF(H$3&gt;Assumptions!$H$15,0,H20-H27)</f>
        <v>0</v>
      </c>
      <c r="I34" s="86" t="n">
        <f aca="false">IF(I$3&gt;Assumptions!$H$15,0,I20-I27)</f>
        <v>0</v>
      </c>
      <c r="J34" s="86" t="n">
        <f aca="false">IF(J$3&gt;Assumptions!$H$15,0,J20-J27)</f>
        <v>0</v>
      </c>
      <c r="K34" s="86" t="n">
        <f aca="false">IF(K$3&gt;Assumptions!$H$15,0,K20-K27)</f>
        <v>0</v>
      </c>
      <c r="L34" s="86" t="n">
        <f aca="false">IF(L$3&gt;Assumptions!$H$15,0,L20-L27)</f>
        <v>0</v>
      </c>
      <c r="M34" s="86" t="n">
        <f aca="false">IF(M$3&gt;Assumptions!$H$15,0,M20-M27)</f>
        <v>0</v>
      </c>
    </row>
    <row r="35" customFormat="false" ht="15.75" hidden="false" customHeight="true" outlineLevel="0" collapsed="false"/>
    <row r="36" customFormat="false" ht="15" hidden="false" customHeight="true" outlineLevel="0" collapsed="false">
      <c r="B36" s="7" t="str">
        <f aca="false">"TIER 3 — SECOND PROMOTE ("&amp;TEXT(Assumptions!$C$82,"0%")&amp;" IRR / "&amp;TEXT(Assumptions!$C$83,"0%")&amp;" Promote)"</f>
        <v>TIER 3 — SECOND PROMOTE (0% IRR / 0% Promote)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customFormat="false" ht="15" hidden="false" customHeight="true" outlineLevel="0" collapsed="false">
      <c r="B37" s="9" t="s">
        <v>281</v>
      </c>
      <c r="C37" s="19" t="n">
        <f aca="false">0</f>
        <v>0</v>
      </c>
      <c r="D37" s="19" t="n">
        <f aca="false">IF(D$3&gt;Assumptions!$H$15,0,C42)</f>
        <v>0</v>
      </c>
      <c r="E37" s="19" t="n">
        <f aca="false">IF(E$3&gt;Assumptions!$H$15,0,D42)</f>
        <v>0</v>
      </c>
      <c r="F37" s="19" t="n">
        <f aca="false">IF(F$3&gt;Assumptions!$H$15,0,E42)</f>
        <v>0</v>
      </c>
      <c r="G37" s="19" t="n">
        <f aca="false">IF(G$3&gt;Assumptions!$H$15,0,F42)</f>
        <v>0</v>
      </c>
      <c r="H37" s="19" t="n">
        <f aca="false">IF(H$3&gt;Assumptions!$H$15,0,G42)</f>
        <v>0</v>
      </c>
      <c r="I37" s="19" t="n">
        <f aca="false">IF(I$3&gt;Assumptions!$H$15,0,H42)</f>
        <v>0</v>
      </c>
      <c r="J37" s="19" t="n">
        <f aca="false">IF(J$3&gt;Assumptions!$H$15,0,I42)</f>
        <v>0</v>
      </c>
      <c r="K37" s="19" t="n">
        <f aca="false">IF(K$3&gt;Assumptions!$H$15,0,J42)</f>
        <v>0</v>
      </c>
      <c r="L37" s="19" t="n">
        <f aca="false">IF(L$3&gt;Assumptions!$H$15,0,K42)</f>
        <v>0</v>
      </c>
      <c r="M37" s="19" t="n">
        <f aca="false">IF(M$3&gt;Assumptions!$H$15,0,L42)</f>
        <v>0</v>
      </c>
    </row>
    <row r="38" customFormat="false" ht="15" hidden="false" customHeight="true" outlineLevel="0" collapsed="false">
      <c r="B38" s="9" t="s">
        <v>282</v>
      </c>
      <c r="C38" s="29" t="n">
        <f aca="false">Assumptions!$C$70</f>
        <v>0</v>
      </c>
      <c r="D38" s="19" t="n">
        <f aca="false">IF(D$3&gt;Assumptions!$H$15,0,0)</f>
        <v>0</v>
      </c>
      <c r="E38" s="19" t="n">
        <f aca="false">IF(E$3&gt;Assumptions!$H$15,0,0)</f>
        <v>0</v>
      </c>
      <c r="F38" s="19" t="n">
        <f aca="false">IF(F$3&gt;Assumptions!$H$15,0,0)</f>
        <v>0</v>
      </c>
      <c r="G38" s="19" t="n">
        <f aca="false">IF(G$3&gt;Assumptions!$H$15,0,0)</f>
        <v>0</v>
      </c>
      <c r="H38" s="19" t="n">
        <f aca="false">IF(H$3&gt;Assumptions!$H$15,0,0)</f>
        <v>0</v>
      </c>
      <c r="I38" s="19" t="n">
        <f aca="false">IF(I$3&gt;Assumptions!$H$15,0,0)</f>
        <v>0</v>
      </c>
      <c r="J38" s="19" t="n">
        <f aca="false">IF(J$3&gt;Assumptions!$H$15,0,0)</f>
        <v>0</v>
      </c>
      <c r="K38" s="19" t="n">
        <f aca="false">IF(K$3&gt;Assumptions!$H$15,0,0)</f>
        <v>0</v>
      </c>
      <c r="L38" s="19" t="n">
        <f aca="false">IF(L$3&gt;Assumptions!$H$15,0,0)</f>
        <v>0</v>
      </c>
      <c r="M38" s="19" t="n">
        <f aca="false">IF(M$3&gt;Assumptions!$H$15,0,0)</f>
        <v>0</v>
      </c>
    </row>
    <row r="39" customFormat="false" ht="15" hidden="false" customHeight="true" outlineLevel="0" collapsed="false">
      <c r="B39" s="9" t="s">
        <v>290</v>
      </c>
      <c r="C39" s="29" t="n">
        <f aca="false">0</f>
        <v>0</v>
      </c>
      <c r="D39" s="19" t="n">
        <f aca="false">IF(D$3&gt;Assumptions!$H$15,0,D37*Assumptions!$C$82)</f>
        <v>0</v>
      </c>
      <c r="E39" s="19" t="n">
        <f aca="false">IF(E$3&gt;Assumptions!$H$15,0,E37*Assumptions!$C$82)</f>
        <v>0</v>
      </c>
      <c r="F39" s="19" t="n">
        <f aca="false">IF(F$3&gt;Assumptions!$H$15,0,F37*Assumptions!$C$82)</f>
        <v>0</v>
      </c>
      <c r="G39" s="19" t="n">
        <f aca="false">IF(G$3&gt;Assumptions!$H$15,0,G37*Assumptions!$C$82)</f>
        <v>0</v>
      </c>
      <c r="H39" s="19" t="n">
        <f aca="false">IF(H$3&gt;Assumptions!$H$15,0,H37*Assumptions!$C$82)</f>
        <v>0</v>
      </c>
      <c r="I39" s="19" t="n">
        <f aca="false">IF(I$3&gt;Assumptions!$H$15,0,I37*Assumptions!$C$82)</f>
        <v>0</v>
      </c>
      <c r="J39" s="19" t="n">
        <f aca="false">IF(J$3&gt;Assumptions!$H$15,0,J37*Assumptions!$C$82)</f>
        <v>0</v>
      </c>
      <c r="K39" s="19" t="n">
        <f aca="false">IF(K$3&gt;Assumptions!$H$15,0,K37*Assumptions!$C$82)</f>
        <v>0</v>
      </c>
      <c r="L39" s="19" t="n">
        <f aca="false">IF(L$3&gt;Assumptions!$H$15,0,L37*Assumptions!$C$82)</f>
        <v>0</v>
      </c>
      <c r="M39" s="19" t="n">
        <f aca="false">IF(M$3&gt;Assumptions!$H$15,0,M37*Assumptions!$C$82)</f>
        <v>0</v>
      </c>
    </row>
    <row r="40" customFormat="false" ht="15" hidden="false" customHeight="true" outlineLevel="0" collapsed="false">
      <c r="B40" s="9" t="s">
        <v>291</v>
      </c>
      <c r="C40" s="19" t="n">
        <f aca="false">0</f>
        <v>0</v>
      </c>
      <c r="D40" s="19" t="n">
        <f aca="false">IF(D$3&gt;Assumptions!$H$15,0,D17+D30)</f>
        <v>0</v>
      </c>
      <c r="E40" s="19" t="n">
        <f aca="false">IF(E$3&gt;Assumptions!$H$15,0,E17+E30)</f>
        <v>0</v>
      </c>
      <c r="F40" s="19" t="n">
        <f aca="false">IF(F$3&gt;Assumptions!$H$15,0,F17+F30)</f>
        <v>0</v>
      </c>
      <c r="G40" s="19" t="n">
        <f aca="false">IF(G$3&gt;Assumptions!$H$15,0,G17+G30)</f>
        <v>0</v>
      </c>
      <c r="H40" s="19" t="n">
        <f aca="false">IF(H$3&gt;Assumptions!$H$15,0,H17+H30)</f>
        <v>0</v>
      </c>
      <c r="I40" s="19" t="n">
        <f aca="false">IF(I$3&gt;Assumptions!$H$15,0,I17+I30)</f>
        <v>0</v>
      </c>
      <c r="J40" s="19" t="n">
        <f aca="false">IF(J$3&gt;Assumptions!$H$15,0,J17+J30)</f>
        <v>0</v>
      </c>
      <c r="K40" s="19" t="n">
        <f aca="false">IF(K$3&gt;Assumptions!$H$15,0,K17+K30)</f>
        <v>0</v>
      </c>
      <c r="L40" s="19" t="n">
        <f aca="false">IF(L$3&gt;Assumptions!$H$15,0,L17+L30)</f>
        <v>0</v>
      </c>
      <c r="M40" s="19" t="n">
        <f aca="false">IF(M$3&gt;Assumptions!$H$15,0,M17+M30)</f>
        <v>0</v>
      </c>
    </row>
    <row r="41" customFormat="false" ht="15" hidden="false" customHeight="true" outlineLevel="0" collapsed="false">
      <c r="B41" s="9" t="s">
        <v>292</v>
      </c>
      <c r="C41" s="19" t="n">
        <f aca="false">0</f>
        <v>0</v>
      </c>
      <c r="D41" s="19" t="n">
        <f aca="false">IF(D$3&gt;Assumptions!$H$15,0,IF(Assumptions!$C$83&gt;=1,0,MIN(D34,MAX(0,D37+D39-D40)/(1-Assumptions!$C$83))))</f>
        <v>0</v>
      </c>
      <c r="E41" s="19" t="n">
        <f aca="false">IF(E$3&gt;Assumptions!$H$15,0,IF(Assumptions!$C$83&gt;=1,0,MIN(E34,MAX(0,E37+E39-E40)/(1-Assumptions!$C$83))))</f>
        <v>0</v>
      </c>
      <c r="F41" s="19" t="n">
        <f aca="false">IF(F$3&gt;Assumptions!$H$15,0,IF(Assumptions!$C$83&gt;=1,0,MIN(F34,MAX(0,F37+F39-F40)/(1-Assumptions!$C$83))))</f>
        <v>0</v>
      </c>
      <c r="G41" s="19" t="n">
        <f aca="false">IF(G$3&gt;Assumptions!$H$15,0,IF(Assumptions!$C$83&gt;=1,0,MIN(G34,MAX(0,G37+G39-G40)/(1-Assumptions!$C$83))))</f>
        <v>0</v>
      </c>
      <c r="H41" s="19" t="n">
        <f aca="false">IF(H$3&gt;Assumptions!$H$15,0,IF(Assumptions!$C$83&gt;=1,0,MIN(H34,MAX(0,H37+H39-H40)/(1-Assumptions!$C$83))))</f>
        <v>0</v>
      </c>
      <c r="I41" s="19" t="n">
        <f aca="false">IF(I$3&gt;Assumptions!$H$15,0,IF(Assumptions!$C$83&gt;=1,0,MIN(I34,MAX(0,I37+I39-I40)/(1-Assumptions!$C$83))))</f>
        <v>0</v>
      </c>
      <c r="J41" s="19" t="n">
        <f aca="false">IF(J$3&gt;Assumptions!$H$15,0,IF(Assumptions!$C$83&gt;=1,0,MIN(J34,MAX(0,J37+J39-J40)/(1-Assumptions!$C$83))))</f>
        <v>0</v>
      </c>
      <c r="K41" s="19" t="n">
        <f aca="false">IF(K$3&gt;Assumptions!$H$15,0,IF(Assumptions!$C$83&gt;=1,0,MIN(K34,MAX(0,K37+K39-K40)/(1-Assumptions!$C$83))))</f>
        <v>0</v>
      </c>
      <c r="L41" s="19" t="n">
        <f aca="false">IF(L$3&gt;Assumptions!$H$15,0,IF(Assumptions!$C$83&gt;=1,0,MIN(L34,MAX(0,L37+L39-L40)/(1-Assumptions!$C$83))))</f>
        <v>0</v>
      </c>
      <c r="M41" s="19" t="n">
        <f aca="false">IF(M$3&gt;Assumptions!$H$15,0,IF(Assumptions!$C$83&gt;=1,0,MIN(M34,MAX(0,M37+M39-M40)/(1-Assumptions!$C$83))))</f>
        <v>0</v>
      </c>
    </row>
    <row r="42" customFormat="false" ht="15" hidden="false" customHeight="true" outlineLevel="0" collapsed="false">
      <c r="B42" s="38" t="s">
        <v>285</v>
      </c>
      <c r="C42" s="86" t="n">
        <f aca="false">C37+C38+C39-C40-C41</f>
        <v>0</v>
      </c>
      <c r="D42" s="86" t="n">
        <f aca="false">IF(D$3&gt;Assumptions!$H$15,0,MAX(0,D37+D39-D40-D41*(1-Assumptions!$C$83)))</f>
        <v>0</v>
      </c>
      <c r="E42" s="86" t="n">
        <f aca="false">IF(E$3&gt;Assumptions!$H$15,0,MAX(0,E37+E39-E40-E41*(1-Assumptions!$C$83)))</f>
        <v>0</v>
      </c>
      <c r="F42" s="86" t="n">
        <f aca="false">IF(F$3&gt;Assumptions!$H$15,0,MAX(0,F37+F39-F40-F41*(1-Assumptions!$C$83)))</f>
        <v>0</v>
      </c>
      <c r="G42" s="86" t="n">
        <f aca="false">IF(G$3&gt;Assumptions!$H$15,0,MAX(0,G37+G39-G40-G41*(1-Assumptions!$C$83)))</f>
        <v>0</v>
      </c>
      <c r="H42" s="86" t="n">
        <f aca="false">IF(H$3&gt;Assumptions!$H$15,0,MAX(0,H37+H39-H40-H41*(1-Assumptions!$C$83)))</f>
        <v>0</v>
      </c>
      <c r="I42" s="86" t="n">
        <f aca="false">IF(I$3&gt;Assumptions!$H$15,0,MAX(0,I37+I39-I40-I41*(1-Assumptions!$C$83)))</f>
        <v>0</v>
      </c>
      <c r="J42" s="86" t="n">
        <f aca="false">IF(J$3&gt;Assumptions!$H$15,0,MAX(0,J37+J39-J40-J41*(1-Assumptions!$C$83)))</f>
        <v>0</v>
      </c>
      <c r="K42" s="86" t="n">
        <f aca="false">IF(K$3&gt;Assumptions!$H$15,0,MAX(0,K37+K39-K40-K41*(1-Assumptions!$C$83)))</f>
        <v>0</v>
      </c>
      <c r="L42" s="86" t="n">
        <f aca="false">IF(L$3&gt;Assumptions!$H$15,0,MAX(0,L37+L39-L40-L41*(1-Assumptions!$C$83)))</f>
        <v>0</v>
      </c>
      <c r="M42" s="86" t="n">
        <f aca="false">IF(M$3&gt;Assumptions!$H$15,0,MAX(0,M37+M39-M40-M41*(1-Assumptions!$C$83)))</f>
        <v>0</v>
      </c>
    </row>
    <row r="44" customFormat="false" ht="15" hidden="false" customHeight="true" outlineLevel="0" collapsed="false">
      <c r="B44" s="27" t="s">
        <v>293</v>
      </c>
      <c r="C44" s="19" t="n">
        <f aca="false">0</f>
        <v>0</v>
      </c>
      <c r="D44" s="19" t="n">
        <f aca="false">IF(D$3&gt;Assumptions!$H$15,0,D41*(1-Assumptions!$C$83))</f>
        <v>0</v>
      </c>
      <c r="E44" s="19" t="n">
        <f aca="false">IF(E$3&gt;Assumptions!$H$15,0,E41*(1-Assumptions!$C$83))</f>
        <v>0</v>
      </c>
      <c r="F44" s="19" t="n">
        <f aca="false">IF(F$3&gt;Assumptions!$H$15,0,F41*(1-Assumptions!$C$83))</f>
        <v>0</v>
      </c>
      <c r="G44" s="19" t="n">
        <f aca="false">IF(G$3&gt;Assumptions!$H$15,0,G41*(1-Assumptions!$C$83))</f>
        <v>0</v>
      </c>
      <c r="H44" s="19" t="n">
        <f aca="false">IF(H$3&gt;Assumptions!$H$15,0,H41*(1-Assumptions!$C$83))</f>
        <v>0</v>
      </c>
      <c r="I44" s="19" t="n">
        <f aca="false">IF(I$3&gt;Assumptions!$H$15,0,I41*(1-Assumptions!$C$83))</f>
        <v>0</v>
      </c>
      <c r="J44" s="19" t="n">
        <f aca="false">IF(J$3&gt;Assumptions!$H$15,0,J41*(1-Assumptions!$C$83))</f>
        <v>0</v>
      </c>
      <c r="K44" s="19" t="n">
        <f aca="false">IF(K$3&gt;Assumptions!$H$15,0,K41*(1-Assumptions!$C$83))</f>
        <v>0</v>
      </c>
      <c r="L44" s="19" t="n">
        <f aca="false">IF(L$3&gt;Assumptions!$H$15,0,L41*(1-Assumptions!$C$83))</f>
        <v>0</v>
      </c>
      <c r="M44" s="19" t="n">
        <f aca="false">IF(M$3&gt;Assumptions!$H$15,0,M41*(1-Assumptions!$C$83))</f>
        <v>0</v>
      </c>
    </row>
    <row r="45" customFormat="false" ht="15" hidden="false" customHeight="true" outlineLevel="0" collapsed="false">
      <c r="B45" s="27" t="s">
        <v>294</v>
      </c>
      <c r="C45" s="19" t="n">
        <f aca="false">0</f>
        <v>0</v>
      </c>
      <c r="D45" s="19" t="n">
        <f aca="false">IF(D$3&gt;Assumptions!$H$15,0,D41*Assumptions!$C$83)</f>
        <v>0</v>
      </c>
      <c r="E45" s="19" t="n">
        <f aca="false">IF(E$3&gt;Assumptions!$H$15,0,E41*Assumptions!$C$83)</f>
        <v>0</v>
      </c>
      <c r="F45" s="19" t="n">
        <f aca="false">IF(F$3&gt;Assumptions!$H$15,0,F41*Assumptions!$C$83)</f>
        <v>0</v>
      </c>
      <c r="G45" s="19" t="n">
        <f aca="false">IF(G$3&gt;Assumptions!$H$15,0,G41*Assumptions!$C$83)</f>
        <v>0</v>
      </c>
      <c r="H45" s="19" t="n">
        <f aca="false">IF(H$3&gt;Assumptions!$H$15,0,H41*Assumptions!$C$83)</f>
        <v>0</v>
      </c>
      <c r="I45" s="19" t="n">
        <f aca="false">IF(I$3&gt;Assumptions!$H$15,0,I41*Assumptions!$C$83)</f>
        <v>0</v>
      </c>
      <c r="J45" s="19" t="n">
        <f aca="false">IF(J$3&gt;Assumptions!$H$15,0,J41*Assumptions!$C$83)</f>
        <v>0</v>
      </c>
      <c r="K45" s="19" t="n">
        <f aca="false">IF(K$3&gt;Assumptions!$H$15,0,K41*Assumptions!$C$83)</f>
        <v>0</v>
      </c>
      <c r="L45" s="19" t="n">
        <f aca="false">IF(L$3&gt;Assumptions!$H$15,0,L41*Assumptions!$C$83)</f>
        <v>0</v>
      </c>
      <c r="M45" s="19" t="n">
        <f aca="false">IF(M$3&gt;Assumptions!$H$15,0,M41*Assumptions!$C$83)</f>
        <v>0</v>
      </c>
    </row>
    <row r="46" customFormat="false" ht="15" hidden="false" customHeight="true" outlineLevel="0" collapsed="false">
      <c r="B46" s="9" t="s">
        <v>287</v>
      </c>
      <c r="C46" s="29" t="n">
        <f aca="false">-Assumptions!$C$70</f>
        <v>-0</v>
      </c>
      <c r="D46" s="19" t="n">
        <f aca="false">IF(D$3&gt;Assumptions!$H$15,0,D17+D30+D44)</f>
        <v>0</v>
      </c>
      <c r="E46" s="19" t="n">
        <f aca="false">IF(E$3&gt;Assumptions!$H$15,0,E17+E30+E44)</f>
        <v>0</v>
      </c>
      <c r="F46" s="19" t="n">
        <f aca="false">IF(F$3&gt;Assumptions!$H$15,0,F17+F30+F44)</f>
        <v>0</v>
      </c>
      <c r="G46" s="19" t="n">
        <f aca="false">IF(G$3&gt;Assumptions!$H$15,0,G17+G30+G44)</f>
        <v>0</v>
      </c>
      <c r="H46" s="19" t="n">
        <f aca="false">IF(H$3&gt;Assumptions!$H$15,0,H17+H30+H44)</f>
        <v>0</v>
      </c>
      <c r="I46" s="19" t="n">
        <f aca="false">IF(I$3&gt;Assumptions!$H$15,0,I17+I30+I44)</f>
        <v>0</v>
      </c>
      <c r="J46" s="19" t="n">
        <f aca="false">IF(J$3&gt;Assumptions!$H$15,0,J17+J30+J44)</f>
        <v>0</v>
      </c>
      <c r="K46" s="19" t="n">
        <f aca="false">IF(K$3&gt;Assumptions!$H$15,0,K17+K30+K44)</f>
        <v>0</v>
      </c>
      <c r="L46" s="19" t="n">
        <f aca="false">IF(L$3&gt;Assumptions!$H$15,0,L17+L30+L44)</f>
        <v>0</v>
      </c>
      <c r="M46" s="19" t="n">
        <f aca="false">IF(M$3&gt;Assumptions!$H$15,0,M17+M30+M44)</f>
        <v>0</v>
      </c>
    </row>
    <row r="47" customFormat="false" ht="15" hidden="false" customHeight="true" outlineLevel="0" collapsed="false">
      <c r="B47" s="9" t="s">
        <v>288</v>
      </c>
      <c r="C47" s="33" t="str">
        <f aca="false">""</f>
        <v/>
      </c>
      <c r="D47" s="33" t="str">
        <f aca="false">IF(D$3=Assumptions!$H$15,IFERROR(IRR($C$46:D46),"—"),"")</f>
        <v/>
      </c>
      <c r="E47" s="33" t="str">
        <f aca="false">IF(E$3=Assumptions!$H$15,IFERROR(IRR($C$46:E46),"—"),"")</f>
        <v/>
      </c>
      <c r="F47" s="33" t="str">
        <f aca="false">IF(F$3=Assumptions!$H$15,IFERROR(IRR($C$46:F46),"—"),"")</f>
        <v/>
      </c>
      <c r="G47" s="33" t="str">
        <f aca="false">IF(G$3=Assumptions!$H$15,IFERROR(IRR($C$46:G46),"—"),"")</f>
        <v/>
      </c>
      <c r="H47" s="33" t="str">
        <f aca="false">IF(H$3=Assumptions!$H$15,IFERROR(IRR($C$46:H46),"—"),"")</f>
        <v/>
      </c>
      <c r="I47" s="33" t="str">
        <f aca="false">IF(I$3=Assumptions!$H$15,IFERROR(IRR($C$46:I46),"—"),"")</f>
        <v/>
      </c>
      <c r="J47" s="33" t="str">
        <f aca="false">IF(J$3=Assumptions!$H$15,IFERROR(IRR($C$46:J46),"—"),"")</f>
        <v/>
      </c>
      <c r="K47" s="33" t="str">
        <f aca="false">IF(K$3=Assumptions!$H$15,IFERROR(IRR($C$46:K46),"—"),"")</f>
        <v/>
      </c>
      <c r="L47" s="33" t="str">
        <f aca="false">IF(L$3=Assumptions!$H$15,IFERROR(IRR($C$46:L46),"—"),"")</f>
        <v/>
      </c>
      <c r="M47" s="33" t="str">
        <f aca="false">IF(M$3=Assumptions!$H$15,IFERROR(IRR($C$46:M46),"—"),"")</f>
        <v/>
      </c>
    </row>
    <row r="48" customFormat="false" ht="15" hidden="false" customHeight="true" outlineLevel="0" collapsed="false">
      <c r="B48" s="38" t="s">
        <v>289</v>
      </c>
      <c r="C48" s="86" t="n">
        <f aca="false">0</f>
        <v>0</v>
      </c>
      <c r="D48" s="86" t="n">
        <f aca="false">IF(D$3&gt;Assumptions!$H$15,0,D34-D41)</f>
        <v>0</v>
      </c>
      <c r="E48" s="86" t="n">
        <f aca="false">IF(E$3&gt;Assumptions!$H$15,0,E34-E41)</f>
        <v>0</v>
      </c>
      <c r="F48" s="86" t="n">
        <f aca="false">IF(F$3&gt;Assumptions!$H$15,0,F34-F41)</f>
        <v>0</v>
      </c>
      <c r="G48" s="86" t="n">
        <f aca="false">IF(G$3&gt;Assumptions!$H$15,0,G34-G41)</f>
        <v>0</v>
      </c>
      <c r="H48" s="86" t="n">
        <f aca="false">IF(H$3&gt;Assumptions!$H$15,0,H34-H41)</f>
        <v>0</v>
      </c>
      <c r="I48" s="86" t="n">
        <f aca="false">IF(I$3&gt;Assumptions!$H$15,0,I34-I41)</f>
        <v>0</v>
      </c>
      <c r="J48" s="86" t="n">
        <f aca="false">IF(J$3&gt;Assumptions!$H$15,0,J34-J41)</f>
        <v>0</v>
      </c>
      <c r="K48" s="86" t="n">
        <f aca="false">IF(K$3&gt;Assumptions!$H$15,0,K34-K41)</f>
        <v>0</v>
      </c>
      <c r="L48" s="86" t="n">
        <f aca="false">IF(L$3&gt;Assumptions!$H$15,0,L34-L41)</f>
        <v>0</v>
      </c>
      <c r="M48" s="86" t="n">
        <f aca="false">IF(M$3&gt;Assumptions!$H$15,0,M34-M41)</f>
        <v>0</v>
      </c>
    </row>
    <row r="49" customFormat="false" ht="15.75" hidden="false" customHeight="true" outlineLevel="0" collapsed="false"/>
    <row r="50" customFormat="false" ht="15" hidden="false" customHeight="true" outlineLevel="0" collapsed="false">
      <c r="B50" s="7" t="str">
        <f aca="false">"TIER 4 — RESIDUAL ("&amp;TEXT(Assumptions!$C$84,"0%")&amp;" Promote)"</f>
        <v>TIER 4 — RESIDUAL (0% Promote)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customFormat="false" ht="15" hidden="false" customHeight="true" outlineLevel="0" collapsed="false">
      <c r="B51" s="27" t="s">
        <v>293</v>
      </c>
      <c r="C51" s="19" t="n">
        <f aca="false">0</f>
        <v>0</v>
      </c>
      <c r="D51" s="19" t="n">
        <f aca="false">IF(D$3&gt;Assumptions!$H$15,0,D48*(1-Assumptions!$C$84))</f>
        <v>0</v>
      </c>
      <c r="E51" s="19" t="n">
        <f aca="false">IF(E$3&gt;Assumptions!$H$15,0,E48*(1-Assumptions!$C$84))</f>
        <v>0</v>
      </c>
      <c r="F51" s="19" t="n">
        <f aca="false">IF(F$3&gt;Assumptions!$H$15,0,F48*(1-Assumptions!$C$84))</f>
        <v>0</v>
      </c>
      <c r="G51" s="19" t="n">
        <f aca="false">IF(G$3&gt;Assumptions!$H$15,0,G48*(1-Assumptions!$C$84))</f>
        <v>0</v>
      </c>
      <c r="H51" s="19" t="n">
        <f aca="false">IF(H$3&gt;Assumptions!$H$15,0,H48*(1-Assumptions!$C$84))</f>
        <v>0</v>
      </c>
      <c r="I51" s="19" t="n">
        <f aca="false">IF(I$3&gt;Assumptions!$H$15,0,I48*(1-Assumptions!$C$84))</f>
        <v>0</v>
      </c>
      <c r="J51" s="19" t="n">
        <f aca="false">IF(J$3&gt;Assumptions!$H$15,0,J48*(1-Assumptions!$C$84))</f>
        <v>0</v>
      </c>
      <c r="K51" s="19" t="n">
        <f aca="false">IF(K$3&gt;Assumptions!$H$15,0,K48*(1-Assumptions!$C$84))</f>
        <v>0</v>
      </c>
      <c r="L51" s="19" t="n">
        <f aca="false">IF(L$3&gt;Assumptions!$H$15,0,L48*(1-Assumptions!$C$84))</f>
        <v>0</v>
      </c>
      <c r="M51" s="19" t="n">
        <f aca="false">IF(M$3&gt;Assumptions!$H$15,0,M48*(1-Assumptions!$C$84))</f>
        <v>0</v>
      </c>
    </row>
    <row r="52" customFormat="false" ht="15" hidden="false" customHeight="true" outlineLevel="0" collapsed="false">
      <c r="B52" s="27" t="s">
        <v>294</v>
      </c>
      <c r="C52" s="19" t="n">
        <f aca="false">0</f>
        <v>0</v>
      </c>
      <c r="D52" s="19" t="n">
        <f aca="false">IF(D$3&gt;Assumptions!$H$15,0,D48*Assumptions!$C$84)</f>
        <v>0</v>
      </c>
      <c r="E52" s="19" t="n">
        <f aca="false">IF(E$3&gt;Assumptions!$H$15,0,E48*Assumptions!$C$84)</f>
        <v>0</v>
      </c>
      <c r="F52" s="19" t="n">
        <f aca="false">IF(F$3&gt;Assumptions!$H$15,0,F48*Assumptions!$C$84)</f>
        <v>0</v>
      </c>
      <c r="G52" s="19" t="n">
        <f aca="false">IF(G$3&gt;Assumptions!$H$15,0,G48*Assumptions!$C$84)</f>
        <v>0</v>
      </c>
      <c r="H52" s="19" t="n">
        <f aca="false">IF(H$3&gt;Assumptions!$H$15,0,H48*Assumptions!$C$84)</f>
        <v>0</v>
      </c>
      <c r="I52" s="19" t="n">
        <f aca="false">IF(I$3&gt;Assumptions!$H$15,0,I48*Assumptions!$C$84)</f>
        <v>0</v>
      </c>
      <c r="J52" s="19" t="n">
        <f aca="false">IF(J$3&gt;Assumptions!$H$15,0,J48*Assumptions!$C$84)</f>
        <v>0</v>
      </c>
      <c r="K52" s="19" t="n">
        <f aca="false">IF(K$3&gt;Assumptions!$H$15,0,K48*Assumptions!$C$84)</f>
        <v>0</v>
      </c>
      <c r="L52" s="19" t="n">
        <f aca="false">IF(L$3&gt;Assumptions!$H$15,0,L48*Assumptions!$C$84)</f>
        <v>0</v>
      </c>
      <c r="M52" s="19" t="n">
        <f aca="false">IF(M$3&gt;Assumptions!$H$15,0,M48*Assumptions!$C$84)</f>
        <v>0</v>
      </c>
    </row>
    <row r="55" customFormat="false" ht="15" hidden="false" customHeight="true" outlineLevel="0" collapsed="false">
      <c r="A55" s="9"/>
      <c r="B55" s="7" t="s">
        <v>295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9"/>
    </row>
    <row r="56" customFormat="false" ht="15" hidden="false" customHeight="true" outlineLevel="0" collapsed="false">
      <c r="A56" s="9"/>
      <c r="B56" s="40"/>
      <c r="C56" s="85" t="s">
        <v>267</v>
      </c>
      <c r="D56" s="85" t="s">
        <v>40</v>
      </c>
      <c r="E56" s="85" t="s">
        <v>41</v>
      </c>
      <c r="F56" s="85" t="s">
        <v>42</v>
      </c>
      <c r="G56" s="85" t="s">
        <v>43</v>
      </c>
      <c r="H56" s="85" t="s">
        <v>44</v>
      </c>
      <c r="I56" s="85" t="s">
        <v>45</v>
      </c>
      <c r="J56" s="85" t="s">
        <v>46</v>
      </c>
      <c r="K56" s="85" t="s">
        <v>47</v>
      </c>
      <c r="L56" s="85" t="s">
        <v>48</v>
      </c>
      <c r="M56" s="85" t="s">
        <v>49</v>
      </c>
      <c r="N56" s="9"/>
    </row>
    <row r="57" customFormat="false" ht="15" hidden="false" customHeight="true" outlineLevel="0" collapsed="false">
      <c r="A57" s="9"/>
      <c r="B57" s="9" t="s">
        <v>296</v>
      </c>
      <c r="C57" s="29" t="n">
        <f aca="false">IF(Assumptions!$C$73="Yes",-Assumptions!$C$70*Assumptions!$C$76,-Assumptions!$C$70)</f>
        <v>-0</v>
      </c>
      <c r="D57" s="19" t="n">
        <f aca="false">0</f>
        <v>0</v>
      </c>
      <c r="E57" s="19" t="n">
        <f aca="false">0</f>
        <v>0</v>
      </c>
      <c r="F57" s="19" t="n">
        <f aca="false">0</f>
        <v>0</v>
      </c>
      <c r="G57" s="19" t="n">
        <f aca="false">0</f>
        <v>0</v>
      </c>
      <c r="H57" s="19" t="n">
        <f aca="false">0</f>
        <v>0</v>
      </c>
      <c r="I57" s="19" t="n">
        <f aca="false">0</f>
        <v>0</v>
      </c>
      <c r="J57" s="19" t="n">
        <f aca="false">0</f>
        <v>0</v>
      </c>
      <c r="K57" s="19" t="n">
        <f aca="false">0</f>
        <v>0</v>
      </c>
      <c r="L57" s="19" t="n">
        <f aca="false">0</f>
        <v>0</v>
      </c>
      <c r="M57" s="19" t="n">
        <f aca="false">0</f>
        <v>0</v>
      </c>
      <c r="N57" s="9"/>
    </row>
    <row r="58" customFormat="false" ht="15" hidden="false" customHeight="true" outlineLevel="0" collapsed="false">
      <c r="A58" s="9"/>
      <c r="B58" s="9" t="s">
        <v>297</v>
      </c>
      <c r="C58" s="19" t="n">
        <f aca="false">0</f>
        <v>0</v>
      </c>
      <c r="D58" s="19" t="n">
        <f aca="false">IF(D$3&gt;Assumptions!$H$15,0,IF(Assumptions!$C$73="Yes",IF(D$3=Assumptions!$H$15,0,(D17+D30+D44+D51)*Assumptions!$C$76),IF(D$3=Assumptions!$H$15,0,(D17+D30+D44+D51))))</f>
        <v>0</v>
      </c>
      <c r="E58" s="19" t="n">
        <f aca="false">IF(E$3&gt;Assumptions!$H$15,0,IF(Assumptions!$C$73="Yes",IF(E$3=Assumptions!$H$15,0,(E17+E30+E44+E51)*Assumptions!$C$76),IF(E$3=Assumptions!$H$15,0,(E17+E30+E44+E51))))</f>
        <v>0</v>
      </c>
      <c r="F58" s="19" t="n">
        <f aca="false">IF(F$3&gt;Assumptions!$H$15,0,IF(Assumptions!$C$73="Yes",IF(F$3=Assumptions!$H$15,0,(F17+F30+F44+F51)*Assumptions!$C$76),IF(F$3=Assumptions!$H$15,0,(F17+F30+F44+F51))))</f>
        <v>0</v>
      </c>
      <c r="G58" s="19" t="n">
        <f aca="false">IF(G$3&gt;Assumptions!$H$15,0,IF(Assumptions!$C$73="Yes",IF(G$3=Assumptions!$H$15,0,(G17+G30+G44+G51)*Assumptions!$C$76),IF(G$3=Assumptions!$H$15,0,(G17+G30+G44+G51))))</f>
        <v>0</v>
      </c>
      <c r="H58" s="19" t="n">
        <f aca="false">IF(H$3&gt;Assumptions!$H$15,0,IF(Assumptions!$C$73="Yes",IF(H$3=Assumptions!$H$15,0,(H17+H30+H44+H51)*Assumptions!$C$76),IF(H$3=Assumptions!$H$15,0,(H17+H30+H44+H51))))</f>
        <v>0</v>
      </c>
      <c r="I58" s="19" t="n">
        <f aca="false">IF(I$3&gt;Assumptions!$H$15,0,IF(Assumptions!$C$73="Yes",IF(I$3=Assumptions!$H$15,0,(I17+I30+I44+I51)*Assumptions!$C$76),IF(I$3=Assumptions!$H$15,0,(I17+I30+I44+I51))))</f>
        <v>0</v>
      </c>
      <c r="J58" s="19" t="n">
        <f aca="false">IF(J$3&gt;Assumptions!$H$15,0,IF(Assumptions!$C$73="Yes",IF(J$3=Assumptions!$H$15,0,(J17+J30+J44+J51)*Assumptions!$C$76),IF(J$3=Assumptions!$H$15,0,(J17+J30+J44+J51))))</f>
        <v>0</v>
      </c>
      <c r="K58" s="19" t="n">
        <f aca="false">IF(K$3&gt;Assumptions!$H$15,0,IF(Assumptions!$C$73="Yes",IF(K$3=Assumptions!$H$15,0,(K17+K30+K44+K51)*Assumptions!$C$76),IF(K$3=Assumptions!$H$15,0,(K17+K30+K44+K51))))</f>
        <v>0</v>
      </c>
      <c r="L58" s="19" t="n">
        <f aca="false">IF(L$3&gt;Assumptions!$H$15,0,IF(Assumptions!$C$73="Yes",IF(L$3=Assumptions!$H$15,0,(L17+L30+L44+L51)*Assumptions!$C$76),IF(L$3=Assumptions!$H$15,0,(L17+L30+L44+L51))))</f>
        <v>0</v>
      </c>
      <c r="M58" s="19" t="n">
        <f aca="false">IF(M$3&gt;Assumptions!$H$15,0,IF(Assumptions!$C$73="Yes",IF(M$3=Assumptions!$H$15,0,(M17+M30+M44+M51)*Assumptions!$C$76),IF(M$3=Assumptions!$H$15,0,(M17+M30+M44+M51))))</f>
        <v>0</v>
      </c>
      <c r="N58" s="9"/>
    </row>
    <row r="59" customFormat="false" ht="15" hidden="false" customHeight="true" outlineLevel="0" collapsed="false">
      <c r="A59" s="9"/>
      <c r="B59" s="9" t="s">
        <v>298</v>
      </c>
      <c r="C59" s="19" t="n">
        <f aca="false">0</f>
        <v>0</v>
      </c>
      <c r="D59" s="19" t="n">
        <f aca="false">IF(D$3&gt;Assumptions!$H$15,0,IF(Assumptions!$C$73="Yes",IF(D$3=Assumptions!$H$15,(D17+D30+D44+D51)*Assumptions!$C$76,0),IF(D$3=Assumptions!$H$15,(D17+D30+D44+D51),0)))</f>
        <v>0</v>
      </c>
      <c r="E59" s="19" t="n">
        <f aca="false">IF(E$3&gt;Assumptions!$H$15,0,IF(Assumptions!$C$73="Yes",IF(E$3=Assumptions!$H$15,(E17+E30+E44+E51)*Assumptions!$C$76,0),IF(E$3=Assumptions!$H$15,(E17+E30+E44+E51),0)))</f>
        <v>0</v>
      </c>
      <c r="F59" s="19" t="n">
        <f aca="false">IF(F$3&gt;Assumptions!$H$15,0,IF(Assumptions!$C$73="Yes",IF(F$3=Assumptions!$H$15,(F17+F30+F44+F51)*Assumptions!$C$76,0),IF(F$3=Assumptions!$H$15,(F17+F30+F44+F51),0)))</f>
        <v>0</v>
      </c>
      <c r="G59" s="19" t="n">
        <f aca="false">IF(G$3&gt;Assumptions!$H$15,0,IF(Assumptions!$C$73="Yes",IF(G$3=Assumptions!$H$15,(G17+G30+G44+G51)*Assumptions!$C$76,0),IF(G$3=Assumptions!$H$15,(G17+G30+G44+G51),0)))</f>
        <v>0</v>
      </c>
      <c r="H59" s="19" t="n">
        <f aca="false">IF(H$3&gt;Assumptions!$H$15,0,IF(Assumptions!$C$73="Yes",IF(H$3=Assumptions!$H$15,(H17+H30+H44+H51)*Assumptions!$C$76,0),IF(H$3=Assumptions!$H$15,(H17+H30+H44+H51),0)))</f>
        <v>0</v>
      </c>
      <c r="I59" s="19" t="n">
        <f aca="false">IF(I$3&gt;Assumptions!$H$15,0,IF(Assumptions!$C$73="Yes",IF(I$3=Assumptions!$H$15,(I17+I30+I44+I51)*Assumptions!$C$76,0),IF(I$3=Assumptions!$H$15,(I17+I30+I44+I51),0)))</f>
        <v>0</v>
      </c>
      <c r="J59" s="19" t="n">
        <f aca="false">IF(J$3&gt;Assumptions!$H$15,0,IF(Assumptions!$C$73="Yes",IF(J$3=Assumptions!$H$15,(J17+J30+J44+J51)*Assumptions!$C$76,0),IF(J$3=Assumptions!$H$15,(J17+J30+J44+J51),0)))</f>
        <v>0</v>
      </c>
      <c r="K59" s="19" t="n">
        <f aca="false">IF(K$3&gt;Assumptions!$H$15,0,IF(Assumptions!$C$73="Yes",IF(K$3=Assumptions!$H$15,(K17+K30+K44+K51)*Assumptions!$C$76,0),IF(K$3=Assumptions!$H$15,(K17+K30+K44+K51),0)))</f>
        <v>0</v>
      </c>
      <c r="L59" s="19" t="n">
        <f aca="false">IF(L$3&gt;Assumptions!$H$15,0,IF(Assumptions!$C$73="Yes",IF(L$3=Assumptions!$H$15,(L17+L30+L44+L51)*Assumptions!$C$76,0),IF(L$3=Assumptions!$H$15,(L17+L30+L44+L51),0)))</f>
        <v>0</v>
      </c>
      <c r="M59" s="19" t="n">
        <f aca="false">IF(M$3&gt;Assumptions!$H$15,0,IF(Assumptions!$C$73="Yes",IF(M$3=Assumptions!$H$15,(M17+M30+M44+M51)*Assumptions!$C$76,0),IF(M$3=Assumptions!$H$15,(M17+M30+M44+M51),0)))</f>
        <v>0</v>
      </c>
      <c r="N59" s="9"/>
    </row>
    <row r="60" customFormat="false" ht="15" hidden="false" customHeight="true" outlineLevel="0" collapsed="false">
      <c r="A60" s="9"/>
      <c r="B60" s="38" t="s">
        <v>299</v>
      </c>
      <c r="C60" s="86" t="n">
        <f aca="false">C57+C58+C59</f>
        <v>0</v>
      </c>
      <c r="D60" s="86" t="n">
        <f aca="false">IF(D$3&gt;Assumptions!$H$15,0,D57+D58+D59)</f>
        <v>0</v>
      </c>
      <c r="E60" s="86" t="n">
        <f aca="false">IF(E$3&gt;Assumptions!$H$15,0,E57+E58+E59)</f>
        <v>0</v>
      </c>
      <c r="F60" s="86" t="n">
        <f aca="false">IF(F$3&gt;Assumptions!$H$15,0,F57+F58+F59)</f>
        <v>0</v>
      </c>
      <c r="G60" s="86" t="n">
        <f aca="false">IF(G$3&gt;Assumptions!$H$15,0,G57+G58+G59)</f>
        <v>0</v>
      </c>
      <c r="H60" s="86" t="n">
        <f aca="false">IF(H$3&gt;Assumptions!$H$15,0,H57+H58+H59)</f>
        <v>0</v>
      </c>
      <c r="I60" s="86" t="n">
        <f aca="false">IF(I$3&gt;Assumptions!$H$15,0,I57+I58+I59)</f>
        <v>0</v>
      </c>
      <c r="J60" s="86" t="n">
        <f aca="false">IF(J$3&gt;Assumptions!$H$15,0,J57+J58+J59)</f>
        <v>0</v>
      </c>
      <c r="K60" s="86" t="n">
        <f aca="false">IF(K$3&gt;Assumptions!$H$15,0,K57+K58+K59)</f>
        <v>0</v>
      </c>
      <c r="L60" s="86" t="n">
        <f aca="false">IF(L$3&gt;Assumptions!$H$15,0,L57+L58+L59)</f>
        <v>0</v>
      </c>
      <c r="M60" s="86" t="n">
        <f aca="false">IF(M$3&gt;Assumptions!$H$15,0,M57+M58+M59)</f>
        <v>0</v>
      </c>
      <c r="N60" s="9"/>
    </row>
    <row r="61" customFormat="false" ht="15" hidden="false" customHeight="tru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customFormat="false" ht="15" hidden="false" customHeight="true" outlineLevel="0" collapsed="false">
      <c r="A62" s="9"/>
      <c r="B62" s="7" t="s">
        <v>300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9"/>
    </row>
    <row r="63" customFormat="false" ht="15" hidden="false" customHeight="true" outlineLevel="0" collapsed="false">
      <c r="A63" s="9"/>
      <c r="B63" s="7" t="s">
        <v>300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9"/>
    </row>
    <row r="64" customFormat="false" ht="15" hidden="false" customHeight="true" outlineLevel="0" collapsed="false">
      <c r="A64" s="9"/>
      <c r="B64" s="40"/>
      <c r="C64" s="85" t="s">
        <v>267</v>
      </c>
      <c r="D64" s="85" t="s">
        <v>40</v>
      </c>
      <c r="E64" s="85" t="s">
        <v>41</v>
      </c>
      <c r="F64" s="85" t="s">
        <v>42</v>
      </c>
      <c r="G64" s="85" t="s">
        <v>43</v>
      </c>
      <c r="H64" s="85" t="s">
        <v>44</v>
      </c>
      <c r="I64" s="85" t="s">
        <v>45</v>
      </c>
      <c r="J64" s="85" t="s">
        <v>46</v>
      </c>
      <c r="K64" s="85" t="s">
        <v>47</v>
      </c>
      <c r="L64" s="85" t="s">
        <v>48</v>
      </c>
      <c r="M64" s="85" t="s">
        <v>49</v>
      </c>
      <c r="N64" s="9"/>
    </row>
    <row r="65" customFormat="false" ht="15" hidden="false" customHeight="true" outlineLevel="0" collapsed="false">
      <c r="A65" s="9"/>
      <c r="B65" s="27" t="s">
        <v>301</v>
      </c>
      <c r="C65" s="29" t="n">
        <f aca="false">IF(Assumptions!$C$73="Yes",-Assumptions!$C$70*Assumptions!$C$75,0)</f>
        <v>0</v>
      </c>
      <c r="D65" s="19" t="n">
        <f aca="false">0</f>
        <v>0</v>
      </c>
      <c r="E65" s="19" t="n">
        <f aca="false">0</f>
        <v>0</v>
      </c>
      <c r="F65" s="19" t="n">
        <f aca="false">0</f>
        <v>0</v>
      </c>
      <c r="G65" s="19" t="n">
        <f aca="false">0</f>
        <v>0</v>
      </c>
      <c r="H65" s="19" t="n">
        <f aca="false">0</f>
        <v>0</v>
      </c>
      <c r="I65" s="19" t="n">
        <f aca="false">0</f>
        <v>0</v>
      </c>
      <c r="J65" s="19" t="n">
        <f aca="false">0</f>
        <v>0</v>
      </c>
      <c r="K65" s="19" t="n">
        <f aca="false">0</f>
        <v>0</v>
      </c>
      <c r="L65" s="19" t="n">
        <f aca="false">0</f>
        <v>0</v>
      </c>
      <c r="M65" s="19" t="n">
        <f aca="false">0</f>
        <v>0</v>
      </c>
      <c r="N65" s="9"/>
    </row>
    <row r="66" customFormat="false" ht="15" hidden="false" customHeight="true" outlineLevel="0" collapsed="false">
      <c r="A66" s="9"/>
      <c r="B66" s="9" t="s">
        <v>302</v>
      </c>
      <c r="C66" s="19" t="n">
        <f aca="false">0</f>
        <v>0</v>
      </c>
      <c r="D66" s="19" t="n">
        <f aca="false">IF(D$3&gt;Assumptions!$H$15,0,IF(Assumptions!$C$73="Yes",IF(D$3=Assumptions!$H$15,0,(D17+D30+D44+D51)*Assumptions!$C$75),0))</f>
        <v>0</v>
      </c>
      <c r="E66" s="19" t="n">
        <f aca="false">IF(E$3&gt;Assumptions!$H$15,0,IF(Assumptions!$C$73="Yes",IF(E$3=Assumptions!$H$15,0,(E17+E30+E44+E51)*Assumptions!$C$75),0))</f>
        <v>0</v>
      </c>
      <c r="F66" s="19" t="n">
        <f aca="false">IF(F$3&gt;Assumptions!$H$15,0,IF(Assumptions!$C$73="Yes",IF(F$3=Assumptions!$H$15,0,(F17+F30+F44+F51)*Assumptions!$C$75),0))</f>
        <v>0</v>
      </c>
      <c r="G66" s="19" t="n">
        <f aca="false">IF(G$3&gt;Assumptions!$H$15,0,IF(Assumptions!$C$73="Yes",IF(G$3=Assumptions!$H$15,0,(G17+G30+G44+G51)*Assumptions!$C$75),0))</f>
        <v>0</v>
      </c>
      <c r="H66" s="19" t="n">
        <f aca="false">IF(H$3&gt;Assumptions!$H$15,0,IF(Assumptions!$C$73="Yes",IF(H$3=Assumptions!$H$15,0,(H17+H30+H44+H51)*Assumptions!$C$75),0))</f>
        <v>0</v>
      </c>
      <c r="I66" s="19" t="n">
        <f aca="false">IF(I$3&gt;Assumptions!$H$15,0,IF(Assumptions!$C$73="Yes",IF(I$3=Assumptions!$H$15,0,(I17+I30+I44+I51)*Assumptions!$C$75),0))</f>
        <v>0</v>
      </c>
      <c r="J66" s="19" t="n">
        <f aca="false">IF(J$3&gt;Assumptions!$H$15,0,IF(Assumptions!$C$73="Yes",IF(J$3=Assumptions!$H$15,0,(J17+J30+J44+J51)*Assumptions!$C$75),0))</f>
        <v>0</v>
      </c>
      <c r="K66" s="19" t="n">
        <f aca="false">IF(K$3&gt;Assumptions!$H$15,0,IF(Assumptions!$C$73="Yes",IF(K$3=Assumptions!$H$15,0,(K17+K30+K44+K51)*Assumptions!$C$75),0))</f>
        <v>0</v>
      </c>
      <c r="L66" s="19" t="n">
        <f aca="false">IF(L$3&gt;Assumptions!$H$15,0,IF(Assumptions!$C$73="Yes",IF(L$3=Assumptions!$H$15,0,(L17+L30+L44+L51)*Assumptions!$C$75),0))</f>
        <v>0</v>
      </c>
      <c r="M66" s="19" t="n">
        <f aca="false">IF(M$3&gt;Assumptions!$H$15,0,IF(Assumptions!$C$73="Yes",IF(M$3=Assumptions!$H$15,0,(M17+M30+M44+M51)*Assumptions!$C$75),0))</f>
        <v>0</v>
      </c>
      <c r="N66" s="9"/>
    </row>
    <row r="67" customFormat="false" ht="15" hidden="false" customHeight="true" outlineLevel="0" collapsed="false">
      <c r="A67" s="9"/>
      <c r="B67" s="9" t="s">
        <v>303</v>
      </c>
      <c r="C67" s="19" t="n">
        <f aca="false">0</f>
        <v>0</v>
      </c>
      <c r="D67" s="19" t="n">
        <f aca="false">IF(D$3&gt;Assumptions!$H$15,0,IF(Assumptions!$C$73="Yes",IF(D$3=Assumptions!$H$15,(D17+D30+D44+D51)*Assumptions!$C$75,0),0))</f>
        <v>0</v>
      </c>
      <c r="E67" s="19" t="n">
        <f aca="false">IF(E$3&gt;Assumptions!$H$15,0,IF(Assumptions!$C$73="Yes",IF(E$3=Assumptions!$H$15,(E17+E30+E44+E51)*Assumptions!$C$75,0),0))</f>
        <v>0</v>
      </c>
      <c r="F67" s="19" t="n">
        <f aca="false">IF(F$3&gt;Assumptions!$H$15,0,IF(Assumptions!$C$73="Yes",IF(F$3=Assumptions!$H$15,(F17+F30+F44+F51)*Assumptions!$C$75,0),0))</f>
        <v>0</v>
      </c>
      <c r="G67" s="19" t="n">
        <f aca="false">IF(G$3&gt;Assumptions!$H$15,0,IF(Assumptions!$C$73="Yes",IF(G$3=Assumptions!$H$15,(G17+G30+G44+G51)*Assumptions!$C$75,0),0))</f>
        <v>0</v>
      </c>
      <c r="H67" s="19" t="n">
        <f aca="false">IF(H$3&gt;Assumptions!$H$15,0,IF(Assumptions!$C$73="Yes",IF(H$3=Assumptions!$H$15,(H17+H30+H44+H51)*Assumptions!$C$75,0),0))</f>
        <v>0</v>
      </c>
      <c r="I67" s="19" t="n">
        <f aca="false">IF(I$3&gt;Assumptions!$H$15,0,IF(Assumptions!$C$73="Yes",IF(I$3=Assumptions!$H$15,(I17+I30+I44+I51)*Assumptions!$C$75,0),0))</f>
        <v>0</v>
      </c>
      <c r="J67" s="19" t="n">
        <f aca="false">IF(J$3&gt;Assumptions!$H$15,0,IF(Assumptions!$C$73="Yes",IF(J$3=Assumptions!$H$15,(J17+J30+J44+J51)*Assumptions!$C$75,0),0))</f>
        <v>0</v>
      </c>
      <c r="K67" s="19" t="n">
        <f aca="false">IF(K$3&gt;Assumptions!$H$15,0,IF(Assumptions!$C$73="Yes",IF(K$3=Assumptions!$H$15,(K17+K30+K44+K51)*Assumptions!$C$75,0),0))</f>
        <v>0</v>
      </c>
      <c r="L67" s="19" t="n">
        <f aca="false">IF(L$3&gt;Assumptions!$H$15,0,IF(Assumptions!$C$73="Yes",IF(L$3=Assumptions!$H$15,(L17+L30+L44+L51)*Assumptions!$C$75,0),0))</f>
        <v>0</v>
      </c>
      <c r="M67" s="19" t="n">
        <f aca="false">IF(M$3&gt;Assumptions!$H$15,0,IF(Assumptions!$C$73="Yes",IF(M$3=Assumptions!$H$15,(M17+M30+M44+M51)*Assumptions!$C$75,0),0))</f>
        <v>0</v>
      </c>
      <c r="N67" s="9"/>
    </row>
    <row r="68" customFormat="false" ht="15" hidden="false" customHeight="true" outlineLevel="0" collapsed="false">
      <c r="A68" s="9"/>
      <c r="B68" s="9" t="s">
        <v>304</v>
      </c>
      <c r="C68" s="19" t="n">
        <f aca="false">0</f>
        <v>0</v>
      </c>
      <c r="D68" s="19" t="n">
        <f aca="false">IF(D$3&gt;Assumptions!$H$15,0,IF(Assumptions!$C$73="Yes",(D31+D45+D52),0))</f>
        <v>0</v>
      </c>
      <c r="E68" s="19" t="n">
        <f aca="false">IF(E$3&gt;Assumptions!$H$15,0,IF(Assumptions!$C$73="Yes",(E31+E45+E52),0))</f>
        <v>0</v>
      </c>
      <c r="F68" s="19" t="n">
        <f aca="false">IF(F$3&gt;Assumptions!$H$15,0,IF(Assumptions!$C$73="Yes",(F31+F45+F52),0))</f>
        <v>0</v>
      </c>
      <c r="G68" s="19" t="n">
        <f aca="false">IF(G$3&gt;Assumptions!$H$15,0,IF(Assumptions!$C$73="Yes",(G31+G45+G52),0))</f>
        <v>0</v>
      </c>
      <c r="H68" s="19" t="n">
        <f aca="false">IF(H$3&gt;Assumptions!$H$15,0,IF(Assumptions!$C$73="Yes",(H31+H45+H52),0))</f>
        <v>0</v>
      </c>
      <c r="I68" s="19" t="n">
        <f aca="false">IF(I$3&gt;Assumptions!$H$15,0,IF(Assumptions!$C$73="Yes",(I31+I45+I52),0))</f>
        <v>0</v>
      </c>
      <c r="J68" s="19" t="n">
        <f aca="false">IF(J$3&gt;Assumptions!$H$15,0,IF(Assumptions!$C$73="Yes",(J31+J45+J52),0))</f>
        <v>0</v>
      </c>
      <c r="K68" s="19" t="n">
        <f aca="false">IF(K$3&gt;Assumptions!$H$15,0,IF(Assumptions!$C$73="Yes",(K31+K45+K52),0))</f>
        <v>0</v>
      </c>
      <c r="L68" s="19" t="n">
        <f aca="false">IF(L$3&gt;Assumptions!$H$15,0,IF(Assumptions!$C$73="Yes",(L31+L45+L52),0))</f>
        <v>0</v>
      </c>
      <c r="M68" s="19" t="n">
        <f aca="false">IF(M$3&gt;Assumptions!$H$15,0,IF(Assumptions!$C$73="Yes",(M31+M45+M52),0))</f>
        <v>0</v>
      </c>
      <c r="N68" s="9"/>
    </row>
    <row r="69" customFormat="false" ht="15" hidden="false" customHeight="true" outlineLevel="0" collapsed="false">
      <c r="A69" s="9"/>
      <c r="B69" s="38" t="s">
        <v>305</v>
      </c>
      <c r="C69" s="86" t="n">
        <f aca="false">C65+C66+C67+C68</f>
        <v>0</v>
      </c>
      <c r="D69" s="86" t="n">
        <f aca="false">IF(D$3&gt;Assumptions!$H$15,0,D65+D66+D67+D68)</f>
        <v>0</v>
      </c>
      <c r="E69" s="86" t="n">
        <f aca="false">IF(E$3&gt;Assumptions!$H$15,0,E65+E66+E67+E68)</f>
        <v>0</v>
      </c>
      <c r="F69" s="86" t="n">
        <f aca="false">IF(F$3&gt;Assumptions!$H$15,0,F65+F66+F67+F68)</f>
        <v>0</v>
      </c>
      <c r="G69" s="86" t="n">
        <f aca="false">IF(G$3&gt;Assumptions!$H$15,0,G65+G66+G67+G68)</f>
        <v>0</v>
      </c>
      <c r="H69" s="86" t="n">
        <f aca="false">IF(H$3&gt;Assumptions!$H$15,0,H65+H66+H67+H68)</f>
        <v>0</v>
      </c>
      <c r="I69" s="86" t="n">
        <f aca="false">IF(I$3&gt;Assumptions!$H$15,0,I65+I66+I67+I68)</f>
        <v>0</v>
      </c>
      <c r="J69" s="86" t="n">
        <f aca="false">IF(J$3&gt;Assumptions!$H$15,0,J65+J66+J67+J68)</f>
        <v>0</v>
      </c>
      <c r="K69" s="86" t="n">
        <f aca="false">IF(K$3&gt;Assumptions!$H$15,0,K65+K66+K67+K68)</f>
        <v>0</v>
      </c>
      <c r="L69" s="86" t="n">
        <f aca="false">IF(L$3&gt;Assumptions!$H$15,0,L65+L66+L67+L68)</f>
        <v>0</v>
      </c>
      <c r="M69" s="86" t="n">
        <f aca="false">IF(M$3&gt;Assumptions!$H$15,0,M65+M66+M67+M68)</f>
        <v>0</v>
      </c>
      <c r="N69" s="9"/>
    </row>
    <row r="70" customFormat="false" ht="15" hidden="false" customHeight="true" outlineLevel="0" collapsed="false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customFormat="false" ht="15" hidden="false" customHeight="true" outlineLevel="0" collapsed="false">
      <c r="A71" s="9"/>
      <c r="B71" s="27" t="s">
        <v>306</v>
      </c>
      <c r="C71" s="87" t="str">
        <f aca="false">IF(ABS(C60+C69-(C6+C7))&lt;1,"PASS","FAIL")</f>
        <v>PASS</v>
      </c>
      <c r="D71" s="87" t="str">
        <f aca="false">IF(D$3&gt;Assumptions!$H$15,"",IF(ABS(D60+D69-D7)&lt;1,"PASS","FAIL"))</f>
        <v/>
      </c>
      <c r="E71" s="87" t="str">
        <f aca="false">IF(E$3&gt;Assumptions!$H$15,"",IF(ABS(E60+E69-E7)&lt;1,"PASS","FAIL"))</f>
        <v/>
      </c>
      <c r="F71" s="87" t="str">
        <f aca="false">IF(F$3&gt;Assumptions!$H$15,"",IF(ABS(F60+F69-F7)&lt;1,"PASS","FAIL"))</f>
        <v/>
      </c>
      <c r="G71" s="87" t="str">
        <f aca="false">IF(G$3&gt;Assumptions!$H$15,"",IF(ABS(G60+G69-G7)&lt;1,"PASS","FAIL"))</f>
        <v/>
      </c>
      <c r="H71" s="87" t="str">
        <f aca="false">IF(H$3&gt;Assumptions!$H$15,"",IF(ABS(H60+H69-H7)&lt;1,"PASS","FAIL"))</f>
        <v/>
      </c>
      <c r="I71" s="87" t="str">
        <f aca="false">IF(I$3&gt;Assumptions!$H$15,"",IF(ABS(I60+I69-I7)&lt;1,"PASS","FAIL"))</f>
        <v/>
      </c>
      <c r="J71" s="87" t="str">
        <f aca="false">IF(J$3&gt;Assumptions!$H$15,"",IF(ABS(J60+J69-J7)&lt;1,"PASS","FAIL"))</f>
        <v/>
      </c>
      <c r="K71" s="87" t="str">
        <f aca="false">IF(K$3&gt;Assumptions!$H$15,"",IF(ABS(K60+K69-K7)&lt;1,"PASS","FAIL"))</f>
        <v/>
      </c>
      <c r="L71" s="87" t="str">
        <f aca="false">IF(L$3&gt;Assumptions!$H$15,"",IF(ABS(L60+L69-L7)&lt;1,"PASS","FAIL"))</f>
        <v/>
      </c>
      <c r="M71" s="87" t="str">
        <f aca="false">IF(M$3&gt;Assumptions!$H$15,"",IF(ABS(M60+M69-M7)&lt;1,"PASS","FAIL"))</f>
        <v/>
      </c>
      <c r="N71" s="9"/>
    </row>
    <row r="72" customFormat="false" ht="15" hidden="false" customHeight="true" outlineLevel="0" collapsed="false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customFormat="false" ht="15" hidden="false" customHeight="true" outlineLevel="0" collapsed="false">
      <c r="A73" s="9"/>
      <c r="B73" s="7" t="s">
        <v>307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9"/>
    </row>
    <row r="74" customFormat="false" ht="15" hidden="false" customHeight="true" outlineLevel="0" collapsed="false">
      <c r="A74" s="9"/>
      <c r="B74" s="40"/>
      <c r="C74" s="85" t="s">
        <v>308</v>
      </c>
      <c r="D74" s="85" t="s">
        <v>309</v>
      </c>
      <c r="E74" s="85"/>
      <c r="F74" s="85"/>
      <c r="G74" s="85"/>
      <c r="H74" s="85"/>
      <c r="I74" s="85"/>
      <c r="J74" s="85"/>
      <c r="K74" s="85"/>
      <c r="L74" s="85"/>
      <c r="M74" s="85"/>
      <c r="N74" s="9"/>
    </row>
    <row r="75" customFormat="false" ht="15" hidden="false" customHeight="true" outlineLevel="0" collapsed="false">
      <c r="A75" s="9"/>
      <c r="B75" s="9" t="s">
        <v>310</v>
      </c>
      <c r="C75" s="29" t="n">
        <f aca="false">IF(Assumptions!$C$73="Yes",Assumptions!$C$70*Assumptions!$C$76,Assumptions!$C$70)</f>
        <v>0</v>
      </c>
      <c r="D75" s="29" t="n">
        <f aca="false">IF(Assumptions!$C$73="Yes",Assumptions!$C$70*Assumptions!$C$75,0)</f>
        <v>0</v>
      </c>
      <c r="E75" s="19"/>
      <c r="F75" s="9"/>
      <c r="G75" s="9"/>
      <c r="H75" s="9"/>
      <c r="I75" s="9"/>
      <c r="J75" s="9"/>
      <c r="K75" s="9"/>
      <c r="L75" s="9"/>
      <c r="M75" s="9"/>
      <c r="N75" s="9"/>
    </row>
    <row r="76" customFormat="false" ht="15" hidden="false" customHeight="true" outlineLevel="0" collapsed="false">
      <c r="A76" s="9"/>
      <c r="B76" s="9" t="s">
        <v>311</v>
      </c>
      <c r="C76" s="19" t="n">
        <f aca="false">SUM(D58:M58)+SUM(D59:M59)</f>
        <v>0</v>
      </c>
      <c r="D76" s="19" t="n">
        <f aca="false">IF(Assumptions!$C$73="Yes",SUM(D66:M66)+SUM(D67:M67)+SUM(D68:M68),0)</f>
        <v>0</v>
      </c>
      <c r="E76" s="19"/>
      <c r="F76" s="9"/>
      <c r="G76" s="9"/>
      <c r="H76" s="9"/>
      <c r="I76" s="9"/>
      <c r="J76" s="9"/>
      <c r="K76" s="9"/>
      <c r="L76" s="9"/>
      <c r="M76" s="9"/>
      <c r="N76" s="9"/>
    </row>
    <row r="77" customFormat="false" ht="15" hidden="false" customHeight="true" outlineLevel="0" collapsed="false">
      <c r="A77" s="9"/>
      <c r="B77" s="9" t="s">
        <v>312</v>
      </c>
      <c r="C77" s="19" t="n">
        <f aca="false">C76-C75</f>
        <v>0</v>
      </c>
      <c r="D77" s="19" t="n">
        <f aca="false">IF(Assumptions!$C$73="Yes",(D76-D75),0)</f>
        <v>0</v>
      </c>
      <c r="E77" s="19"/>
      <c r="F77" s="9"/>
      <c r="G77" s="9"/>
      <c r="H77" s="9"/>
      <c r="I77" s="9"/>
      <c r="J77" s="9"/>
      <c r="K77" s="9"/>
      <c r="L77" s="9"/>
      <c r="M77" s="9"/>
      <c r="N77" s="9"/>
    </row>
    <row r="78" customFormat="false" ht="15" hidden="false" customHeight="true" outlineLevel="0" collapsed="false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</row>
    <row r="79" customFormat="false" ht="15" hidden="false" customHeight="true" outlineLevel="0" collapsed="false">
      <c r="A79" s="9"/>
      <c r="B79" s="9" t="s">
        <v>261</v>
      </c>
      <c r="C79" s="33" t="n">
        <f aca="false">IFERROR(IRR(C60:M60),0)</f>
        <v>0</v>
      </c>
      <c r="D79" s="33" t="n">
        <f aca="false">IF(Assumptions!$C$73="Yes",IFERROR(IRR(C69:M69),0),0)</f>
        <v>0</v>
      </c>
      <c r="E79" s="9"/>
      <c r="F79" s="9"/>
      <c r="G79" s="9"/>
      <c r="H79" s="9"/>
      <c r="I79" s="9"/>
      <c r="J79" s="9"/>
      <c r="K79" s="9"/>
      <c r="L79" s="9"/>
      <c r="M79" s="9"/>
      <c r="N79" s="9"/>
    </row>
    <row r="80" customFormat="false" ht="15" hidden="false" customHeight="true" outlineLevel="0" collapsed="false">
      <c r="A80" s="9"/>
      <c r="B80" s="9" t="s">
        <v>17</v>
      </c>
      <c r="C80" s="81" t="n">
        <f aca="false">IF(C75=0,0,C76/C75)</f>
        <v>0</v>
      </c>
      <c r="D80" s="81" t="n">
        <f aca="false">IF(Assumptions!$C$73="Yes",IF(D75=0,0,D76/D75),0)</f>
        <v>0</v>
      </c>
      <c r="E80" s="81"/>
      <c r="F80" s="9"/>
      <c r="G80" s="9"/>
      <c r="H80" s="9"/>
      <c r="I80" s="9"/>
      <c r="J80" s="9"/>
      <c r="K80" s="9"/>
      <c r="L80" s="9"/>
      <c r="M80" s="9"/>
      <c r="N80" s="9"/>
    </row>
    <row r="81" customFormat="false" ht="15" hidden="false" customHeight="true" outlineLevel="0" collapsed="false">
      <c r="A81" s="9"/>
      <c r="B81" s="9" t="s">
        <v>15</v>
      </c>
      <c r="C81" s="33" t="n">
        <f aca="false">IF(OR(C75=0,Assumptions!$H$15=0),0,SUM(D58:M58)/(Assumptions!$H$15*C75))</f>
        <v>0</v>
      </c>
      <c r="D81" s="33" t="n">
        <f aca="false">IF(Assumptions!$C$73="Yes",IF(OR(D75=0,Assumptions!$H$15=0),0,SUM(D66:M66)/(Assumptions!$H$15*D75)),0)</f>
        <v>0</v>
      </c>
      <c r="E81" s="9"/>
      <c r="F81" s="9"/>
      <c r="G81" s="9"/>
      <c r="H81" s="9"/>
      <c r="I81" s="9"/>
      <c r="J81" s="9"/>
      <c r="K81" s="9"/>
      <c r="L81" s="9"/>
      <c r="M81" s="9"/>
      <c r="N81" s="9"/>
    </row>
    <row r="82" customFormat="false" ht="15" hidden="false" customHeight="true" outlineLevel="0" collapsed="false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customFormat="false" ht="15" hidden="false" customHeight="true" outlineLevel="0" collapsed="false">
      <c r="A83" s="9"/>
      <c r="B83" s="7" t="s">
        <v>313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9"/>
    </row>
    <row r="84" customFormat="false" ht="15" hidden="false" customHeight="true" outlineLevel="0" collapsed="false">
      <c r="A84" s="9"/>
      <c r="B84" s="40"/>
      <c r="C84" s="85" t="s">
        <v>164</v>
      </c>
      <c r="D84" s="85" t="s">
        <v>113</v>
      </c>
      <c r="E84" s="85"/>
      <c r="F84" s="85"/>
      <c r="G84" s="85"/>
      <c r="H84" s="85"/>
      <c r="I84" s="85"/>
      <c r="J84" s="85"/>
      <c r="K84" s="85"/>
      <c r="L84" s="85"/>
      <c r="M84" s="85"/>
      <c r="N84" s="9"/>
    </row>
    <row r="85" customFormat="false" ht="15" hidden="false" customHeight="true" outlineLevel="0" collapsed="false">
      <c r="A85" s="9"/>
      <c r="B85" s="9" t="str">
        <f aca="false">IF(Assumptions!$C$73="Yes","Tier 2 Promote ("&amp;TEXT(Assumptions!$C$81,"0%")&amp;")","")</f>
        <v/>
      </c>
      <c r="C85" s="19" t="n">
        <f aca="false">IF(Assumptions!$C$73="Yes",SUM(D31:M31),0)</f>
        <v>0</v>
      </c>
      <c r="D85" s="33" t="n">
        <f aca="false">IF(C88=0,0,C85/C88)</f>
        <v>0</v>
      </c>
      <c r="E85" s="9"/>
      <c r="F85" s="9"/>
      <c r="G85" s="9"/>
      <c r="H85" s="9"/>
      <c r="I85" s="9"/>
      <c r="J85" s="9"/>
      <c r="K85" s="9"/>
      <c r="L85" s="9"/>
      <c r="M85" s="9"/>
      <c r="N85" s="9"/>
    </row>
    <row r="86" customFormat="false" ht="15" hidden="false" customHeight="true" outlineLevel="0" collapsed="false">
      <c r="A86" s="9"/>
      <c r="B86" s="9" t="str">
        <f aca="false">IF(Assumptions!$C$73="Yes","Tier 3 Promote ("&amp;TEXT(Assumptions!$C$83,"0%")&amp;")","")</f>
        <v/>
      </c>
      <c r="C86" s="19" t="n">
        <f aca="false">IF(Assumptions!$C$73="Yes",SUM(D45:M45),0)</f>
        <v>0</v>
      </c>
      <c r="D86" s="33" t="n">
        <f aca="false">IF(C88=0,0,C86/C88)</f>
        <v>0</v>
      </c>
      <c r="E86" s="9"/>
      <c r="F86" s="9"/>
      <c r="G86" s="9"/>
      <c r="H86" s="9"/>
      <c r="I86" s="9"/>
      <c r="J86" s="9"/>
      <c r="K86" s="9"/>
      <c r="L86" s="9"/>
      <c r="M86" s="9"/>
      <c r="N86" s="9"/>
    </row>
    <row r="87" customFormat="false" ht="15" hidden="false" customHeight="true" outlineLevel="0" collapsed="false">
      <c r="A87" s="9"/>
      <c r="B87" s="9" t="str">
        <f aca="false">IF(Assumptions!$C$73="Yes","Tier 4 Promote ("&amp;TEXT(Assumptions!$C$84,"0%")&amp;")","")</f>
        <v/>
      </c>
      <c r="C87" s="19" t="n">
        <f aca="false">IF(Assumptions!$C$73="Yes",SUM(D52:M52),0)</f>
        <v>0</v>
      </c>
      <c r="D87" s="33" t="n">
        <f aca="false">IF(C88=0,0,C87/C88)</f>
        <v>0</v>
      </c>
      <c r="E87" s="9"/>
      <c r="F87" s="9"/>
      <c r="G87" s="9"/>
      <c r="H87" s="9"/>
      <c r="I87" s="9"/>
      <c r="J87" s="9"/>
      <c r="K87" s="9"/>
      <c r="L87" s="9"/>
      <c r="M87" s="9"/>
      <c r="N87" s="9"/>
    </row>
    <row r="88" customFormat="false" ht="15" hidden="false" customHeight="true" outlineLevel="0" collapsed="false">
      <c r="A88" s="9"/>
      <c r="B88" s="38" t="s">
        <v>314</v>
      </c>
      <c r="C88" s="86" t="n">
        <f aca="false">C85+C86+C87</f>
        <v>0</v>
      </c>
      <c r="D88" s="45" t="n">
        <f aca="false">IF(C88=0,0,1)</f>
        <v>0</v>
      </c>
      <c r="E88" s="88"/>
      <c r="F88" s="88"/>
      <c r="G88" s="88"/>
      <c r="H88" s="88"/>
      <c r="I88" s="88"/>
      <c r="J88" s="88"/>
      <c r="K88" s="88"/>
      <c r="L88" s="88"/>
      <c r="M88" s="88"/>
      <c r="N88" s="9"/>
    </row>
    <row r="89" customFormat="false" ht="15" hidden="false" customHeight="true" outlineLevel="0" collapsed="false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customFormat="false" ht="15" hidden="false" customHeight="true" outlineLevel="0" collapsed="false">
      <c r="A90" s="9"/>
      <c r="B90" s="7" t="s">
        <v>315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9"/>
    </row>
    <row r="91" customFormat="false" ht="15" hidden="false" customHeight="true" outlineLevel="0" collapsed="false">
      <c r="A91" s="9"/>
      <c r="B91" s="40"/>
      <c r="C91" s="85" t="s">
        <v>316</v>
      </c>
      <c r="D91" s="85" t="s">
        <v>317</v>
      </c>
      <c r="E91" s="85"/>
      <c r="F91" s="85"/>
      <c r="G91" s="85"/>
      <c r="H91" s="85"/>
      <c r="I91" s="85"/>
      <c r="J91" s="85"/>
      <c r="K91" s="85"/>
      <c r="L91" s="85"/>
      <c r="M91" s="85"/>
      <c r="N91" s="9"/>
    </row>
    <row r="92" customFormat="false" ht="15" hidden="false" customHeight="true" outlineLevel="0" collapsed="false">
      <c r="A92" s="9"/>
      <c r="B92" s="9" t="str">
        <f aca="false">IF(Assumptions!$C$73="Yes","Tier 1 — Preferred Return ("&amp;TEXT(Assumptions!$C$79,"0%")&amp;")","")</f>
        <v/>
      </c>
      <c r="C92" s="89" t="str">
        <f aca="false">IF(Assumptions!$C$73="Yes",IF(CHOOSE(Assumptions!$H$15,C15,D15,E15,F15,G15,H15,I15,J15,K15,L15)&lt;=1,"Yes","No"),"")</f>
        <v/>
      </c>
      <c r="D92" s="33" t="str">
        <f aca="false">IF(Assumptions!$C$73="Yes",CHOOSE(Assumptions!$H$15,D19,E19,F19,G19,H19,I19,J19,K19,L19,M19),"")</f>
        <v/>
      </c>
      <c r="E92" s="9"/>
      <c r="F92" s="9"/>
      <c r="G92" s="9"/>
      <c r="H92" s="9"/>
      <c r="I92" s="9"/>
      <c r="J92" s="9"/>
      <c r="K92" s="9"/>
      <c r="L92" s="9"/>
      <c r="M92" s="9"/>
      <c r="N92" s="9"/>
    </row>
    <row r="93" customFormat="false" ht="15" hidden="false" customHeight="true" outlineLevel="0" collapsed="false">
      <c r="A93" s="9"/>
      <c r="B93" s="9" t="str">
        <f aca="false">IF(Assumptions!$C$73="Yes","Tier 2 — First Promote ("&amp;TEXT(Assumptions!$C$80,"0%")&amp;" IRR)","")</f>
        <v/>
      </c>
      <c r="C93" s="89" t="str">
        <f aca="false">IF(Assumptions!$C$73="Yes",IF(CHOOSE(Assumptions!$H$15,C28,D28,E28,F28,G28,H28,I28,J28,K28,L28)&lt;=1,"Yes","No"),"")</f>
        <v/>
      </c>
      <c r="D93" s="33" t="str">
        <f aca="false">IF(Assumptions!$C$73="Yes",CHOOSE(Assumptions!$H$15,D33,E33,F33,G33,H33,I33,J33,K33,L33,M33),"")</f>
        <v/>
      </c>
      <c r="E93" s="9"/>
      <c r="F93" s="9"/>
      <c r="G93" s="9"/>
      <c r="H93" s="9"/>
      <c r="I93" s="9"/>
      <c r="J93" s="9"/>
      <c r="K93" s="9"/>
      <c r="L93" s="9"/>
      <c r="M93" s="9"/>
      <c r="N93" s="9"/>
    </row>
    <row r="94" customFormat="false" ht="15" hidden="false" customHeight="true" outlineLevel="0" collapsed="false">
      <c r="A94" s="9"/>
      <c r="B94" s="9" t="str">
        <f aca="false">IF(Assumptions!$C$73="Yes","Tier 3 — Second Promote ("&amp;TEXT(Assumptions!$C$82,"0%")&amp;" IRR)","")</f>
        <v/>
      </c>
      <c r="C94" s="89" t="str">
        <f aca="false">IF(Assumptions!$C$73="Yes",IF(CHOOSE(Assumptions!$H$15,C42,D42,E42,F42,G42,H42,I42,J42,K42,L42)&lt;=1,"Yes","No"),"")</f>
        <v/>
      </c>
      <c r="D94" s="33" t="str">
        <f aca="false">IF(Assumptions!$C$73="Yes",CHOOSE(Assumptions!$H$15,D47,E47,F47,G47,H47,I47,J47,K47,L47,M47),"")</f>
        <v/>
      </c>
      <c r="E94" s="9"/>
      <c r="F94" s="9"/>
      <c r="G94" s="9"/>
      <c r="H94" s="9"/>
      <c r="I94" s="9"/>
      <c r="J94" s="9"/>
      <c r="K94" s="9"/>
      <c r="L94" s="9"/>
      <c r="M94" s="9"/>
      <c r="N94" s="9"/>
    </row>
    <row r="95" customFormat="false" ht="15" hidden="false" customHeight="true" outlineLevel="0" collapsed="false">
      <c r="A95" s="9"/>
      <c r="B95" s="9" t="str">
        <f aca="false">IF(Assumptions!$C$73="Yes","Tier 4 — Residual ("&amp;TEXT(Assumptions!$C$84,"0%")&amp;")","")</f>
        <v/>
      </c>
      <c r="C95" s="89" t="str">
        <f aca="false">IF(Assumptions!$C$73="Yes",IF(C87&gt;0,"Active","N/A"),"")</f>
        <v/>
      </c>
      <c r="D95" s="19" t="str">
        <f aca="false">""</f>
        <v/>
      </c>
      <c r="E95" s="9"/>
      <c r="F95" s="9"/>
      <c r="G95" s="9"/>
      <c r="H95" s="9"/>
      <c r="I95" s="9"/>
      <c r="J95" s="9"/>
      <c r="K95" s="9"/>
      <c r="L95" s="9"/>
      <c r="M95" s="9"/>
      <c r="N95" s="9"/>
    </row>
    <row r="96" customFormat="false" ht="15" hidden="false" customHeight="tru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customFormat="false" ht="15" hidden="false" customHeight="tru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customFormat="false" ht="15" hidden="false" customHeight="tru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customFormat="false" ht="15" hidden="false" customHeight="tru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3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F00"/>
    <pageSetUpPr fitToPage="true"/>
  </sheetPr>
  <dimension ref="A1:K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P51" activeCellId="0" sqref="P5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8" min="3" style="1" width="14"/>
    <col collapsed="false" customWidth="true" hidden="false" outlineLevel="0" max="9" min="9" style="1" width="3"/>
    <col collapsed="false" customWidth="false" hidden="false" outlineLevel="0" max="16384" min="10" style="1" width="8.67"/>
  </cols>
  <sheetData>
    <row r="1" customFormat="false" ht="15" hidden="false" customHeight="true" outlineLevel="0" collapsed="false">
      <c r="A1" s="9"/>
      <c r="B1" s="67" t="s">
        <v>318</v>
      </c>
      <c r="C1" s="9"/>
      <c r="D1" s="9"/>
      <c r="E1" s="9"/>
      <c r="F1" s="9"/>
      <c r="G1" s="9"/>
      <c r="H1" s="9"/>
      <c r="I1" s="9"/>
      <c r="J1" s="9"/>
      <c r="K1" s="9"/>
    </row>
    <row r="2" customFormat="false" ht="15" hidden="false" customHeight="true" outlineLevel="0" collapsed="false">
      <c r="A2" s="9"/>
      <c r="B2" s="51" t="s">
        <v>319</v>
      </c>
      <c r="C2" s="9"/>
      <c r="D2" s="9"/>
      <c r="E2" s="9"/>
      <c r="F2" s="9"/>
      <c r="G2" s="9"/>
      <c r="H2" s="9"/>
      <c r="I2" s="9"/>
      <c r="J2" s="9"/>
      <c r="K2" s="9"/>
    </row>
    <row r="3" customFormat="false" ht="15" hidden="false" customHeight="tru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customFormat="false" ht="15" hidden="false" customHeight="true" outlineLevel="0" collapsed="false">
      <c r="A4" s="9"/>
      <c r="B4" s="7" t="s">
        <v>320</v>
      </c>
      <c r="C4" s="8"/>
      <c r="D4" s="8"/>
      <c r="E4" s="8"/>
      <c r="F4" s="8"/>
      <c r="G4" s="8"/>
      <c r="H4" s="8"/>
      <c r="I4" s="9"/>
      <c r="J4" s="9"/>
      <c r="K4" s="9"/>
    </row>
    <row r="5" customFormat="false" ht="15" hidden="false" customHeight="true" outlineLevel="0" collapsed="false">
      <c r="A5" s="9"/>
      <c r="B5" s="90" t="s">
        <v>321</v>
      </c>
      <c r="C5" s="91" t="n">
        <f aca="false">Assumptions!$H$16-0.015</f>
        <v>-0.015</v>
      </c>
      <c r="D5" s="91" t="n">
        <f aca="false">Assumptions!$H$16-0.01</f>
        <v>-0.01</v>
      </c>
      <c r="E5" s="91" t="n">
        <f aca="false">Assumptions!$H$16-0.005</f>
        <v>-0.005</v>
      </c>
      <c r="F5" s="91" t="n">
        <f aca="false">Assumptions!$H$16</f>
        <v>0</v>
      </c>
      <c r="G5" s="91" t="n">
        <f aca="false">Assumptions!$H$16+0.005</f>
        <v>0.005</v>
      </c>
      <c r="H5" s="91" t="n">
        <f aca="false">Assumptions!$H$16+0.01</f>
        <v>0.01</v>
      </c>
      <c r="I5" s="9"/>
      <c r="J5" s="9"/>
      <c r="K5" s="9"/>
    </row>
    <row r="6" customFormat="false" ht="15" hidden="false" customHeight="true" outlineLevel="0" collapsed="false">
      <c r="A6" s="9"/>
      <c r="B6" s="92" t="n">
        <f aca="false">Assumptions!$C$22-0.005</f>
        <v>-0.005</v>
      </c>
      <c r="C6" s="11" t="n">
        <f aca="false">_SensCalc!N55</f>
        <v>0</v>
      </c>
      <c r="D6" s="11" t="n">
        <f aca="false">_SensCalc!N3</f>
        <v>0</v>
      </c>
      <c r="E6" s="11" t="n">
        <f aca="false">_SensCalc!N4</f>
        <v>0</v>
      </c>
      <c r="F6" s="11" t="n">
        <f aca="false">_SensCalc!N5</f>
        <v>0</v>
      </c>
      <c r="G6" s="11" t="n">
        <f aca="false">_SensCalc!N6</f>
        <v>0</v>
      </c>
      <c r="H6" s="11" t="n">
        <f aca="false">_SensCalc!N7</f>
        <v>0</v>
      </c>
      <c r="I6" s="9"/>
      <c r="J6" s="9"/>
      <c r="K6" s="9"/>
    </row>
    <row r="7" customFormat="false" ht="15" hidden="false" customHeight="true" outlineLevel="0" collapsed="false">
      <c r="A7" s="9"/>
      <c r="B7" s="92" t="n">
        <f aca="false">Assumptions!$C$22-0.0025</f>
        <v>-0.0025</v>
      </c>
      <c r="C7" s="11" t="n">
        <f aca="false">_SensCalc!N56</f>
        <v>0</v>
      </c>
      <c r="D7" s="11" t="n">
        <f aca="false">_SensCalc!N8</f>
        <v>0</v>
      </c>
      <c r="E7" s="11" t="n">
        <f aca="false">_SensCalc!N9</f>
        <v>0</v>
      </c>
      <c r="F7" s="11" t="n">
        <f aca="false">_SensCalc!N10</f>
        <v>0</v>
      </c>
      <c r="G7" s="11" t="n">
        <f aca="false">_SensCalc!N11</f>
        <v>0</v>
      </c>
      <c r="H7" s="11" t="n">
        <f aca="false">_SensCalc!N12</f>
        <v>0</v>
      </c>
      <c r="I7" s="9"/>
      <c r="J7" s="9"/>
      <c r="K7" s="9"/>
    </row>
    <row r="8" customFormat="false" ht="15" hidden="false" customHeight="true" outlineLevel="0" collapsed="false">
      <c r="A8" s="9"/>
      <c r="B8" s="92" t="n">
        <f aca="false">Assumptions!$C$22</f>
        <v>0</v>
      </c>
      <c r="C8" s="11" t="n">
        <f aca="false">_SensCalc!N57</f>
        <v>0</v>
      </c>
      <c r="D8" s="11" t="n">
        <f aca="false">_SensCalc!N13</f>
        <v>0</v>
      </c>
      <c r="E8" s="11" t="n">
        <f aca="false">_SensCalc!N14</f>
        <v>0</v>
      </c>
      <c r="F8" s="11" t="n">
        <f aca="false">_SensCalc!N15</f>
        <v>0</v>
      </c>
      <c r="G8" s="11" t="n">
        <f aca="false">_SensCalc!N16</f>
        <v>0</v>
      </c>
      <c r="H8" s="11" t="n">
        <f aca="false">_SensCalc!N17</f>
        <v>0</v>
      </c>
      <c r="I8" s="9"/>
      <c r="J8" s="9"/>
      <c r="K8" s="9"/>
    </row>
    <row r="9" customFormat="false" ht="15" hidden="false" customHeight="true" outlineLevel="0" collapsed="false">
      <c r="A9" s="9"/>
      <c r="B9" s="92" t="n">
        <f aca="false">Assumptions!$C$22+0.0025</f>
        <v>0.0025</v>
      </c>
      <c r="C9" s="11" t="n">
        <f aca="false">_SensCalc!N58</f>
        <v>0</v>
      </c>
      <c r="D9" s="11" t="n">
        <f aca="false">_SensCalc!N18</f>
        <v>0</v>
      </c>
      <c r="E9" s="11" t="n">
        <f aca="false">_SensCalc!N19</f>
        <v>0</v>
      </c>
      <c r="F9" s="11" t="n">
        <f aca="false">_SensCalc!N20</f>
        <v>0</v>
      </c>
      <c r="G9" s="11" t="n">
        <f aca="false">_SensCalc!N21</f>
        <v>0</v>
      </c>
      <c r="H9" s="11" t="n">
        <f aca="false">_SensCalc!N22</f>
        <v>0</v>
      </c>
      <c r="I9" s="9"/>
      <c r="J9" s="9"/>
      <c r="K9" s="9"/>
    </row>
    <row r="10" customFormat="false" ht="15" hidden="false" customHeight="true" outlineLevel="0" collapsed="false">
      <c r="A10" s="9"/>
      <c r="B10" s="92" t="n">
        <f aca="false">Assumptions!$C$22+0.005</f>
        <v>0.005</v>
      </c>
      <c r="C10" s="11" t="n">
        <f aca="false">_SensCalc!N59</f>
        <v>0</v>
      </c>
      <c r="D10" s="11" t="n">
        <f aca="false">_SensCalc!N23</f>
        <v>0</v>
      </c>
      <c r="E10" s="11" t="n">
        <f aca="false">_SensCalc!N24</f>
        <v>0</v>
      </c>
      <c r="F10" s="11" t="n">
        <f aca="false">_SensCalc!N25</f>
        <v>0</v>
      </c>
      <c r="G10" s="11" t="n">
        <f aca="false">_SensCalc!N26</f>
        <v>0</v>
      </c>
      <c r="H10" s="11" t="n">
        <f aca="false">_SensCalc!N27</f>
        <v>0</v>
      </c>
      <c r="I10" s="9"/>
      <c r="J10" s="9"/>
      <c r="K10" s="9"/>
    </row>
    <row r="11" customFormat="false" ht="15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customFormat="false" ht="15" hidden="false" customHeight="tru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customFormat="false" ht="15" hidden="false" customHeight="true" outlineLevel="0" collapsed="false">
      <c r="A13" s="9"/>
      <c r="B13" s="7" t="s">
        <v>322</v>
      </c>
      <c r="C13" s="8"/>
      <c r="D13" s="8"/>
      <c r="E13" s="8"/>
      <c r="F13" s="8"/>
      <c r="G13" s="8"/>
      <c r="H13" s="8"/>
      <c r="I13" s="9"/>
      <c r="J13" s="9"/>
      <c r="K13" s="9"/>
    </row>
    <row r="14" customFormat="false" ht="15" hidden="false" customHeight="true" outlineLevel="0" collapsed="false">
      <c r="A14" s="9"/>
      <c r="B14" s="90" t="s">
        <v>321</v>
      </c>
      <c r="C14" s="91" t="n">
        <f aca="false">Assumptions!$H$16-0.015</f>
        <v>-0.015</v>
      </c>
      <c r="D14" s="91" t="n">
        <f aca="false">Assumptions!$H$16-0.01</f>
        <v>-0.01</v>
      </c>
      <c r="E14" s="91" t="n">
        <f aca="false">Assumptions!$H$16-0.005</f>
        <v>-0.005</v>
      </c>
      <c r="F14" s="91" t="n">
        <f aca="false">Assumptions!$H$16</f>
        <v>0</v>
      </c>
      <c r="G14" s="91" t="n">
        <f aca="false">Assumptions!$H$16+0.005</f>
        <v>0.005</v>
      </c>
      <c r="H14" s="91" t="n">
        <f aca="false">Assumptions!$H$16+0.01</f>
        <v>0.01</v>
      </c>
      <c r="I14" s="9"/>
      <c r="J14" s="9"/>
      <c r="K14" s="9"/>
    </row>
    <row r="15" customFormat="false" ht="15" hidden="false" customHeight="true" outlineLevel="0" collapsed="false">
      <c r="A15" s="9"/>
      <c r="B15" s="92" t="n">
        <f aca="false">Assumptions!$C$22-0.005</f>
        <v>-0.005</v>
      </c>
      <c r="C15" s="12" t="n">
        <f aca="false">_SensCalc!A55</f>
        <v>0</v>
      </c>
      <c r="D15" s="12" t="n">
        <f aca="false">_SensCalc!A30</f>
        <v>0</v>
      </c>
      <c r="E15" s="12" t="n">
        <f aca="false">_SensCalc!A31</f>
        <v>0</v>
      </c>
      <c r="F15" s="12" t="n">
        <f aca="false">_SensCalc!A32</f>
        <v>0</v>
      </c>
      <c r="G15" s="12" t="n">
        <f aca="false">_SensCalc!A33</f>
        <v>0</v>
      </c>
      <c r="H15" s="12" t="n">
        <f aca="false">_SensCalc!A34</f>
        <v>0</v>
      </c>
      <c r="I15" s="9"/>
      <c r="J15" s="9"/>
      <c r="K15" s="9"/>
    </row>
    <row r="16" customFormat="false" ht="15" hidden="false" customHeight="true" outlineLevel="0" collapsed="false">
      <c r="A16" s="9"/>
      <c r="B16" s="92" t="n">
        <f aca="false">Assumptions!$C$22-0.0025</f>
        <v>-0.0025</v>
      </c>
      <c r="C16" s="12" t="n">
        <f aca="false">_SensCalc!A56</f>
        <v>0</v>
      </c>
      <c r="D16" s="12" t="n">
        <f aca="false">_SensCalc!A35</f>
        <v>0</v>
      </c>
      <c r="E16" s="12" t="n">
        <f aca="false">_SensCalc!A36</f>
        <v>0</v>
      </c>
      <c r="F16" s="12" t="n">
        <f aca="false">_SensCalc!A37</f>
        <v>0</v>
      </c>
      <c r="G16" s="12" t="n">
        <f aca="false">_SensCalc!A38</f>
        <v>0</v>
      </c>
      <c r="H16" s="12" t="n">
        <f aca="false">_SensCalc!A39</f>
        <v>0</v>
      </c>
      <c r="I16" s="9"/>
      <c r="J16" s="9"/>
      <c r="K16" s="9"/>
    </row>
    <row r="17" customFormat="false" ht="15" hidden="false" customHeight="true" outlineLevel="0" collapsed="false">
      <c r="A17" s="9"/>
      <c r="B17" s="92" t="n">
        <f aca="false">Assumptions!$C$22</f>
        <v>0</v>
      </c>
      <c r="C17" s="12" t="n">
        <f aca="false">_SensCalc!A57</f>
        <v>0</v>
      </c>
      <c r="D17" s="12" t="n">
        <f aca="false">_SensCalc!A40</f>
        <v>0</v>
      </c>
      <c r="E17" s="12" t="n">
        <f aca="false">_SensCalc!A41</f>
        <v>0</v>
      </c>
      <c r="F17" s="12" t="n">
        <f aca="false">_SensCalc!A42</f>
        <v>0</v>
      </c>
      <c r="G17" s="12" t="n">
        <f aca="false">_SensCalc!A43</f>
        <v>0</v>
      </c>
      <c r="H17" s="12" t="n">
        <f aca="false">_SensCalc!A44</f>
        <v>0</v>
      </c>
      <c r="I17" s="9"/>
      <c r="J17" s="9"/>
      <c r="K17" s="9"/>
    </row>
    <row r="18" customFormat="false" ht="15" hidden="false" customHeight="true" outlineLevel="0" collapsed="false">
      <c r="A18" s="9"/>
      <c r="B18" s="92" t="n">
        <f aca="false">Assumptions!$C$22+0.0025</f>
        <v>0.0025</v>
      </c>
      <c r="C18" s="12" t="n">
        <f aca="false">_SensCalc!A58</f>
        <v>0</v>
      </c>
      <c r="D18" s="12" t="n">
        <f aca="false">_SensCalc!A45</f>
        <v>0</v>
      </c>
      <c r="E18" s="12" t="n">
        <f aca="false">_SensCalc!A46</f>
        <v>0</v>
      </c>
      <c r="F18" s="12" t="n">
        <f aca="false">_SensCalc!A47</f>
        <v>0</v>
      </c>
      <c r="G18" s="12" t="n">
        <f aca="false">_SensCalc!A48</f>
        <v>0</v>
      </c>
      <c r="H18" s="12" t="n">
        <f aca="false">_SensCalc!A49</f>
        <v>0</v>
      </c>
      <c r="I18" s="9"/>
      <c r="J18" s="9"/>
      <c r="K18" s="9"/>
    </row>
    <row r="19" customFormat="false" ht="15" hidden="false" customHeight="true" outlineLevel="0" collapsed="false">
      <c r="A19" s="9"/>
      <c r="B19" s="92" t="n">
        <f aca="false">Assumptions!$C$22+0.005</f>
        <v>0.005</v>
      </c>
      <c r="C19" s="12" t="n">
        <f aca="false">_SensCalc!A59</f>
        <v>0</v>
      </c>
      <c r="D19" s="12" t="n">
        <f aca="false">_SensCalc!A50</f>
        <v>0</v>
      </c>
      <c r="E19" s="12" t="n">
        <f aca="false">_SensCalc!A51</f>
        <v>0</v>
      </c>
      <c r="F19" s="12" t="n">
        <f aca="false">_SensCalc!A52</f>
        <v>0</v>
      </c>
      <c r="G19" s="12" t="n">
        <f aca="false">_SensCalc!A53</f>
        <v>0</v>
      </c>
      <c r="H19" s="12" t="n">
        <f aca="false">_SensCalc!A54</f>
        <v>0</v>
      </c>
      <c r="I19" s="9"/>
      <c r="J19" s="9"/>
      <c r="K19" s="9"/>
    </row>
    <row r="20" customFormat="false" ht="15" hidden="false" customHeight="tru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customFormat="false" ht="15" hidden="false" customHeight="tru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customFormat="false" ht="15" hidden="false" customHeight="true" outlineLevel="0" collapsed="false">
      <c r="A22" s="9"/>
      <c r="B22" s="7" t="s">
        <v>323</v>
      </c>
      <c r="C22" s="8"/>
      <c r="D22" s="8"/>
      <c r="E22" s="8"/>
      <c r="F22" s="8"/>
      <c r="G22" s="8"/>
      <c r="H22" s="8"/>
      <c r="I22" s="9"/>
      <c r="J22" s="9"/>
      <c r="K22" s="9"/>
    </row>
    <row r="23" customFormat="false" ht="15" hidden="false" customHeight="true" outlineLevel="0" collapsed="false">
      <c r="A23" s="9"/>
      <c r="B23" s="90" t="s">
        <v>324</v>
      </c>
      <c r="C23" s="91" t="n">
        <f aca="false">Assumptions!$C$38-0.15</f>
        <v>-0.15</v>
      </c>
      <c r="D23" s="91" t="n">
        <f aca="false">Assumptions!$C$38-0.1</f>
        <v>-0.1</v>
      </c>
      <c r="E23" s="91" t="n">
        <f aca="false">Assumptions!$C$38-0.05</f>
        <v>-0.05</v>
      </c>
      <c r="F23" s="91" t="n">
        <f aca="false">Assumptions!$C$38</f>
        <v>0</v>
      </c>
      <c r="G23" s="91" t="n">
        <f aca="false">Assumptions!$C$38+0.05</f>
        <v>0.05</v>
      </c>
      <c r="H23" s="91" t="n">
        <f aca="false">Assumptions!$C$38+0.1</f>
        <v>0.1</v>
      </c>
      <c r="I23" s="9"/>
      <c r="J23" s="9"/>
      <c r="K23" s="9"/>
    </row>
    <row r="24" customFormat="false" ht="15" hidden="false" customHeight="true" outlineLevel="0" collapsed="false">
      <c r="A24" s="9"/>
      <c r="B24" s="93" t="n">
        <f aca="false">Assumptions!$C$15*(1-0.1)</f>
        <v>0</v>
      </c>
      <c r="C24" s="11" t="n">
        <f aca="false">_SensCalc!N85</f>
        <v>0</v>
      </c>
      <c r="D24" s="11" t="n">
        <f aca="false">_SensCalc!N60</f>
        <v>0</v>
      </c>
      <c r="E24" s="11" t="n">
        <f aca="false">_SensCalc!N61</f>
        <v>0</v>
      </c>
      <c r="F24" s="11" t="n">
        <f aca="false">_SensCalc!N62</f>
        <v>0</v>
      </c>
      <c r="G24" s="11" t="n">
        <f aca="false">_SensCalc!N63</f>
        <v>0</v>
      </c>
      <c r="H24" s="11" t="n">
        <f aca="false">_SensCalc!N64</f>
        <v>0</v>
      </c>
      <c r="I24" s="9"/>
      <c r="J24" s="9"/>
      <c r="K24" s="9"/>
    </row>
    <row r="25" customFormat="false" ht="15" hidden="false" customHeight="true" outlineLevel="0" collapsed="false">
      <c r="A25" s="9"/>
      <c r="B25" s="93" t="n">
        <f aca="false">Assumptions!$C$15*(1-0.05)</f>
        <v>0</v>
      </c>
      <c r="C25" s="11" t="n">
        <f aca="false">_SensCalc!N86</f>
        <v>0</v>
      </c>
      <c r="D25" s="11" t="n">
        <f aca="false">_SensCalc!N65</f>
        <v>0</v>
      </c>
      <c r="E25" s="11" t="n">
        <f aca="false">_SensCalc!N66</f>
        <v>0</v>
      </c>
      <c r="F25" s="11" t="n">
        <f aca="false">_SensCalc!N67</f>
        <v>0</v>
      </c>
      <c r="G25" s="11" t="n">
        <f aca="false">_SensCalc!N68</f>
        <v>0</v>
      </c>
      <c r="H25" s="11" t="n">
        <f aca="false">_SensCalc!N69</f>
        <v>0</v>
      </c>
      <c r="I25" s="9"/>
      <c r="J25" s="9"/>
      <c r="K25" s="9"/>
    </row>
    <row r="26" customFormat="false" ht="15" hidden="false" customHeight="true" outlineLevel="0" collapsed="false">
      <c r="A26" s="9"/>
      <c r="B26" s="93" t="n">
        <f aca="false">Assumptions!$C$15</f>
        <v>0</v>
      </c>
      <c r="C26" s="11" t="n">
        <f aca="false">_SensCalc!N87</f>
        <v>0</v>
      </c>
      <c r="D26" s="11" t="n">
        <f aca="false">_SensCalc!N70</f>
        <v>0</v>
      </c>
      <c r="E26" s="11" t="n">
        <f aca="false">_SensCalc!N71</f>
        <v>0</v>
      </c>
      <c r="F26" s="11" t="n">
        <f aca="false">_SensCalc!N72</f>
        <v>0</v>
      </c>
      <c r="G26" s="11" t="n">
        <f aca="false">_SensCalc!N73</f>
        <v>0</v>
      </c>
      <c r="H26" s="11" t="n">
        <f aca="false">_SensCalc!N74</f>
        <v>0</v>
      </c>
      <c r="I26" s="9"/>
      <c r="J26" s="9"/>
      <c r="K26" s="9"/>
    </row>
    <row r="27" customFormat="false" ht="15" hidden="false" customHeight="true" outlineLevel="0" collapsed="false">
      <c r="A27" s="9"/>
      <c r="B27" s="93" t="n">
        <f aca="false">Assumptions!$C$15*(1+0.05)</f>
        <v>0</v>
      </c>
      <c r="C27" s="11" t="n">
        <f aca="false">_SensCalc!N88</f>
        <v>0</v>
      </c>
      <c r="D27" s="11" t="n">
        <f aca="false">_SensCalc!N75</f>
        <v>0</v>
      </c>
      <c r="E27" s="11" t="n">
        <f aca="false">_SensCalc!N76</f>
        <v>0</v>
      </c>
      <c r="F27" s="11" t="n">
        <f aca="false">_SensCalc!N77</f>
        <v>0</v>
      </c>
      <c r="G27" s="11" t="n">
        <f aca="false">_SensCalc!N78</f>
        <v>0</v>
      </c>
      <c r="H27" s="11" t="n">
        <f aca="false">_SensCalc!N79</f>
        <v>0</v>
      </c>
      <c r="I27" s="9"/>
      <c r="J27" s="9"/>
      <c r="K27" s="9"/>
    </row>
    <row r="28" customFormat="false" ht="15" hidden="false" customHeight="true" outlineLevel="0" collapsed="false">
      <c r="A28" s="9"/>
      <c r="B28" s="93" t="n">
        <f aca="false">Assumptions!$C$15*(1+0.1)</f>
        <v>0</v>
      </c>
      <c r="C28" s="11" t="n">
        <f aca="false">_SensCalc!N89</f>
        <v>0</v>
      </c>
      <c r="D28" s="11" t="n">
        <f aca="false">_SensCalc!N80</f>
        <v>0</v>
      </c>
      <c r="E28" s="11" t="n">
        <f aca="false">_SensCalc!N81</f>
        <v>0</v>
      </c>
      <c r="F28" s="11" t="n">
        <f aca="false">_SensCalc!N82</f>
        <v>0</v>
      </c>
      <c r="G28" s="11" t="n">
        <f aca="false">_SensCalc!N83</f>
        <v>0</v>
      </c>
      <c r="H28" s="11" t="n">
        <f aca="false">_SensCalc!N84</f>
        <v>0</v>
      </c>
      <c r="I28" s="9"/>
      <c r="J28" s="9"/>
      <c r="K28" s="9"/>
    </row>
    <row r="29" customFormat="false" ht="15" hidden="false" customHeight="tru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customFormat="false" ht="15" hidden="false" customHeight="tru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customFormat="false" ht="1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customFormat="false" ht="1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customFormat="false" ht="1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customFormat="false" ht="1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customFormat="false" ht="1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customFormat="false" ht="15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customFormat="false" ht="1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customFormat="false" ht="1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customFormat="false" ht="1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customFormat="false" ht="15" hidden="false" customHeight="tru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</row>
    <row r="41" customFormat="false" ht="15" hidden="false" customHeight="tru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</row>
    <row r="42" customFormat="false" ht="15" hidden="false" customHeight="tru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</row>
    <row r="43" customFormat="false" ht="15" hidden="false" customHeight="tru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</row>
    <row r="44" customFormat="false" ht="15" hidden="false" customHeight="tru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</row>
    <row r="45" customFormat="false" ht="15" hidden="false" customHeight="tru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</row>
    <row r="46" customFormat="false" ht="15" hidden="false" customHeight="true" outlineLevel="0" collapsed="false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customFormat="false" ht="15" hidden="false" customHeight="tru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customFormat="false" ht="15" hidden="false" customHeight="true" outlineLevel="0" collapsed="false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customFormat="false" ht="15" hidden="false" customHeight="tru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customFormat="false" ht="15" hidden="false" customHeight="tru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customFormat="false" ht="15" hidden="false" customHeight="tru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customFormat="false" ht="15" hidden="false" customHeight="tru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customFormat="false" ht="15" hidden="false" customHeight="tru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</row>
    <row r="54" customFormat="false" ht="15" hidden="false" customHeight="tru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</row>
    <row r="55" customFormat="false" ht="15" hidden="false" customHeight="tru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customFormat="false" ht="15" hidden="false" customHeight="tru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</row>
    <row r="57" customFormat="false" ht="15" hidden="false" customHeight="true" outlineLevel="0" collapsed="false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 customFormat="false" ht="15" hidden="false" customHeight="true" outlineLevel="0" collapsed="false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</row>
    <row r="59" customFormat="false" ht="15" hidden="false" customHeight="true" outlineLevel="0" collapsed="false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</row>
    <row r="60" customFormat="false" ht="15" hidden="false" customHeight="true" outlineLevel="0" collapsed="false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</row>
    <row r="61" customFormat="false" ht="15" hidden="false" customHeight="tru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 customFormat="false" ht="15" hidden="false" customHeight="true" outlineLevel="0" collapsed="false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customFormat="false" ht="15" hidden="false" customHeight="true" outlineLevel="0" collapsed="false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</row>
    <row r="64" customFormat="false" ht="15" hidden="false" customHeight="tru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 customFormat="false" ht="15" hidden="false" customHeight="tru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</row>
    <row r="66" customFormat="false" ht="15" hidden="false" customHeight="true" outlineLevel="0" collapsed="false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 customFormat="false" ht="15" hidden="false" customHeight="tru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 customFormat="false" ht="15" hidden="false" customHeight="true" outlineLevel="0" collapsed="false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 customFormat="false" ht="15" hidden="false" customHeight="tru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</row>
    <row r="70" customFormat="false" ht="15" hidden="false" customHeight="true" outlineLevel="0" collapsed="false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</row>
    <row r="71" customFormat="false" ht="15" hidden="false" customHeight="true" outlineLevel="0" collapsed="false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</row>
    <row r="72" customFormat="false" ht="15" hidden="false" customHeight="true" outlineLevel="0" collapsed="false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</row>
    <row r="73" customFormat="false" ht="15" hidden="false" customHeight="tru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</row>
    <row r="74" customFormat="false" ht="15" hidden="false" customHeight="true" outlineLevel="0" collapsed="false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</row>
    <row r="75" customFormat="false" ht="15" hidden="false" customHeight="tru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</row>
    <row r="76" customFormat="false" ht="15" hidden="false" customHeight="true" outlineLevel="0" collapsed="false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</row>
    <row r="77" customFormat="false" ht="15" hidden="false" customHeight="tru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</row>
    <row r="78" customFormat="false" ht="15" hidden="false" customHeight="true" outlineLevel="0" collapsed="false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</row>
    <row r="79" customFormat="false" ht="15" hidden="false" customHeight="true" outlineLevel="0" collapsed="false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F00"/>
    <pageSetUpPr fitToPage="true"/>
  </sheetPr>
  <dimension ref="B1:F37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0" ySplit="2" topLeftCell="A3" activePane="bottomLeft" state="frozen"/>
      <selection pane="topLeft" activeCell="A1" activeCellId="0" sqref="A1"/>
      <selection pane="bottomLeft" activeCell="L23" activeCellId="0" sqref="L23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3"/>
    <col collapsed="false" customWidth="true" hidden="false" outlineLevel="0" max="5" min="5" style="1" width="32"/>
    <col collapsed="false" customWidth="true" hidden="false" outlineLevel="0" max="6" min="6" style="94" width="18"/>
    <col collapsed="false" customWidth="true" hidden="false" outlineLevel="0" max="7" min="7" style="1" width="3"/>
    <col collapsed="false" customWidth="false" hidden="false" outlineLevel="0" max="16384" min="8" style="1" width="8.67"/>
  </cols>
  <sheetData>
    <row r="1" customFormat="false" ht="15" hidden="false" customHeight="true" outlineLevel="0" collapsed="false">
      <c r="B1" s="2" t="s">
        <v>325</v>
      </c>
      <c r="C1" s="2"/>
      <c r="D1" s="2"/>
      <c r="E1" s="2"/>
      <c r="F1" s="2"/>
    </row>
    <row r="2" customFormat="false" ht="15" hidden="false" customHeight="true" outlineLevel="0" collapsed="false">
      <c r="B2" s="3" t="s">
        <v>326</v>
      </c>
    </row>
    <row r="4" customFormat="false" ht="15" hidden="false" customHeight="true" outlineLevel="0" collapsed="false">
      <c r="B4" s="7" t="s">
        <v>327</v>
      </c>
      <c r="C4" s="8"/>
      <c r="E4" s="7" t="s">
        <v>328</v>
      </c>
      <c r="F4" s="95"/>
    </row>
    <row r="5" customFormat="false" ht="15" hidden="false" customHeight="true" outlineLevel="0" collapsed="false">
      <c r="B5" s="9" t="s">
        <v>4</v>
      </c>
      <c r="C5" s="96" t="n">
        <f aca="false">Assumptions!$C$5</f>
        <v>0</v>
      </c>
      <c r="E5" s="9" t="s">
        <v>147</v>
      </c>
      <c r="F5" s="46" t="n">
        <f aca="false">Assumptions!$H$38</f>
        <v>0</v>
      </c>
    </row>
    <row r="6" customFormat="false" ht="15" hidden="false" customHeight="true" outlineLevel="0" collapsed="false">
      <c r="B6" s="9" t="s">
        <v>329</v>
      </c>
      <c r="C6" s="96" t="n">
        <f aca="false">Assumptions!$C$7</f>
        <v>0</v>
      </c>
      <c r="E6" s="9" t="s">
        <v>330</v>
      </c>
      <c r="F6" s="46" t="n">
        <f aca="false">Assumptions!$H$50</f>
        <v>0</v>
      </c>
    </row>
    <row r="7" customFormat="false" ht="15" hidden="false" customHeight="true" outlineLevel="0" collapsed="false">
      <c r="B7" s="9" t="s">
        <v>10</v>
      </c>
      <c r="C7" s="96" t="n">
        <f aca="false">Assumptions!$C$8</f>
        <v>0</v>
      </c>
      <c r="E7" s="9" t="s">
        <v>331</v>
      </c>
      <c r="F7" s="46" t="n">
        <f aca="false">Assumptions!$H$52</f>
        <v>0</v>
      </c>
    </row>
    <row r="8" customFormat="false" ht="15" hidden="false" customHeight="true" outlineLevel="0" collapsed="false">
      <c r="B8" s="9" t="s">
        <v>332</v>
      </c>
      <c r="C8" s="71" t="n">
        <f aca="false">Assumptions!$C$9</f>
        <v>0</v>
      </c>
      <c r="E8" s="9" t="s">
        <v>114</v>
      </c>
      <c r="F8" s="11" t="n">
        <f aca="false">Assumptions!$H$60</f>
        <v>0</v>
      </c>
    </row>
    <row r="9" customFormat="false" ht="15" hidden="false" customHeight="true" outlineLevel="0" collapsed="false">
      <c r="B9" s="9" t="s">
        <v>188</v>
      </c>
      <c r="C9" s="71" t="n">
        <f aca="false">Assumptions!$C$10</f>
        <v>0</v>
      </c>
      <c r="E9" s="9" t="s">
        <v>107</v>
      </c>
      <c r="F9" s="46" t="n">
        <f aca="false">Assumptions!$H$57</f>
        <v>0</v>
      </c>
    </row>
    <row r="10" customFormat="false" ht="15" hidden="false" customHeight="true" outlineLevel="0" collapsed="false">
      <c r="B10" s="9" t="s">
        <v>16</v>
      </c>
      <c r="C10" s="72" t="n">
        <f aca="false">Assumptions!$C$11</f>
        <v>0</v>
      </c>
    </row>
    <row r="11" customFormat="false" ht="15" hidden="false" customHeight="true" outlineLevel="0" collapsed="false">
      <c r="B11" s="9" t="s">
        <v>18</v>
      </c>
      <c r="C11" s="72" t="n">
        <f aca="false">Assumptions!$C$12</f>
        <v>0</v>
      </c>
    </row>
    <row r="13" customFormat="false" ht="15" hidden="false" customHeight="true" outlineLevel="0" collapsed="false">
      <c r="B13" s="7" t="s">
        <v>19</v>
      </c>
      <c r="C13" s="8"/>
      <c r="E13" s="7" t="s">
        <v>111</v>
      </c>
      <c r="F13" s="95"/>
    </row>
    <row r="14" customFormat="false" ht="15" hidden="false" customHeight="true" outlineLevel="0" collapsed="false">
      <c r="B14" s="9" t="s">
        <v>21</v>
      </c>
      <c r="C14" s="46" t="n">
        <f aca="false">Assumptions!$C$15</f>
        <v>0</v>
      </c>
      <c r="E14" s="9" t="s">
        <v>115</v>
      </c>
      <c r="F14" s="46" t="n">
        <f aca="false">Assumptions!$C$61</f>
        <v>0</v>
      </c>
    </row>
    <row r="15" customFormat="false" ht="15" hidden="false" customHeight="true" outlineLevel="0" collapsed="false">
      <c r="B15" s="9" t="s">
        <v>23</v>
      </c>
      <c r="C15" s="46" t="n">
        <f aca="false">Assumptions!$C$16</f>
        <v>0</v>
      </c>
      <c r="E15" s="9" t="s">
        <v>117</v>
      </c>
      <c r="F15" s="46" t="n">
        <f aca="false">Assumptions!$C$62</f>
        <v>0</v>
      </c>
    </row>
    <row r="16" customFormat="false" ht="15" hidden="false" customHeight="true" outlineLevel="0" collapsed="false">
      <c r="B16" s="9" t="s">
        <v>25</v>
      </c>
      <c r="C16" s="97" t="n">
        <f aca="false">Assumptions!$C$17</f>
        <v>0</v>
      </c>
      <c r="E16" s="9" t="s">
        <v>333</v>
      </c>
      <c r="F16" s="46" t="n">
        <f aca="false">Assumptions!$C$64</f>
        <v>0</v>
      </c>
    </row>
    <row r="17" customFormat="false" ht="15" hidden="false" customHeight="true" outlineLevel="0" collapsed="false">
      <c r="B17" s="9" t="s">
        <v>334</v>
      </c>
      <c r="C17" s="46" t="n">
        <f aca="false">Assumptions!$C$19</f>
        <v>0</v>
      </c>
      <c r="E17" s="9" t="s">
        <v>121</v>
      </c>
      <c r="F17" s="11" t="n">
        <f aca="false">Assumptions!$C$66</f>
        <v>0</v>
      </c>
    </row>
    <row r="19" customFormat="false" ht="15" hidden="false" customHeight="true" outlineLevel="0" collapsed="false">
      <c r="B19" s="7" t="s">
        <v>335</v>
      </c>
      <c r="C19" s="8"/>
      <c r="E19" s="7" t="s">
        <v>336</v>
      </c>
      <c r="F19" s="95"/>
    </row>
    <row r="20" customFormat="false" ht="15" hidden="false" customHeight="true" outlineLevel="0" collapsed="false">
      <c r="B20" s="9" t="s">
        <v>67</v>
      </c>
      <c r="C20" s="96" t="str">
        <f aca="false">Assumptions!$C$36</f>
        <v>Interest Only</v>
      </c>
      <c r="E20" s="9" t="s">
        <v>337</v>
      </c>
      <c r="F20" s="96" t="str">
        <f aca="false">Assumptions!$H$15&amp;" Years"</f>
        <v> Years</v>
      </c>
    </row>
    <row r="21" customFormat="false" ht="15" hidden="false" customHeight="true" outlineLevel="0" collapsed="false">
      <c r="B21" s="9" t="s">
        <v>74</v>
      </c>
      <c r="C21" s="46" t="n">
        <f aca="false">Assumptions!$C$39</f>
        <v>0</v>
      </c>
      <c r="E21" s="9" t="s">
        <v>338</v>
      </c>
      <c r="F21" s="11" t="n">
        <f aca="false">Assumptions!$H$16</f>
        <v>0</v>
      </c>
    </row>
    <row r="22" customFormat="false" ht="15" hidden="false" customHeight="true" outlineLevel="0" collapsed="false">
      <c r="B22" s="9" t="s">
        <v>339</v>
      </c>
      <c r="C22" s="11" t="n">
        <f aca="false">Assumptions!$C$38</f>
        <v>0</v>
      </c>
      <c r="E22" s="9" t="s">
        <v>340</v>
      </c>
      <c r="F22" s="11" t="n">
        <f aca="false">Assumptions!$H$17</f>
        <v>0</v>
      </c>
    </row>
    <row r="23" customFormat="false" ht="15" hidden="false" customHeight="true" outlineLevel="0" collapsed="false">
      <c r="B23" s="9" t="s">
        <v>75</v>
      </c>
      <c r="C23" s="11" t="n">
        <f aca="false">Assumptions!$C$40</f>
        <v>0</v>
      </c>
      <c r="E23" s="9" t="s">
        <v>33</v>
      </c>
      <c r="F23" s="11" t="n">
        <f aca="false">Assumptions!$C$22</f>
        <v>0</v>
      </c>
    </row>
    <row r="24" customFormat="false" ht="15" hidden="false" customHeight="true" outlineLevel="0" collapsed="false">
      <c r="B24" s="9" t="s">
        <v>341</v>
      </c>
      <c r="C24" s="96" t="str">
        <f aca="false">IF(Assumptions!$C$37=3,Assumptions!$C$41&amp;" years","N/A")</f>
        <v>N/A</v>
      </c>
      <c r="E24" s="9" t="s">
        <v>342</v>
      </c>
      <c r="F24" s="46" t="n">
        <f aca="false">'Returns Summary'!C$7</f>
        <v>0</v>
      </c>
    </row>
    <row r="25" customFormat="false" ht="15" hidden="false" customHeight="true" outlineLevel="0" collapsed="false">
      <c r="B25" s="9" t="s">
        <v>343</v>
      </c>
      <c r="C25" s="96" t="str">
        <f aca="false">IF(Assumptions!$C$37=1,"N/A",Assumptions!$C$42&amp;" years")</f>
        <v>N/A</v>
      </c>
      <c r="E25" s="9" t="s">
        <v>258</v>
      </c>
      <c r="F25" s="46" t="n">
        <f aca="false">'Returns Summary'!C$11</f>
        <v>0</v>
      </c>
    </row>
    <row r="27" customFormat="false" ht="15" hidden="false" customHeight="true" outlineLevel="0" collapsed="false">
      <c r="B27" s="7" t="s">
        <v>344</v>
      </c>
      <c r="C27" s="8"/>
      <c r="E27" s="7" t="s">
        <v>263</v>
      </c>
      <c r="F27" s="95"/>
    </row>
    <row r="28" customFormat="false" ht="15" hidden="false" customHeight="true" outlineLevel="0" collapsed="false">
      <c r="B28" s="9" t="s">
        <v>5</v>
      </c>
      <c r="C28" s="11" t="n">
        <f aca="false">Assumptions!$H$5</f>
        <v>0</v>
      </c>
      <c r="E28" s="9" t="s">
        <v>261</v>
      </c>
      <c r="F28" s="11" t="n">
        <f aca="false">'Returns Summary'!C$21</f>
        <v>0</v>
      </c>
    </row>
    <row r="29" customFormat="false" ht="15" hidden="false" customHeight="true" outlineLevel="0" collapsed="false">
      <c r="B29" s="9" t="s">
        <v>7</v>
      </c>
      <c r="C29" s="11" t="n">
        <f aca="false">Assumptions!$H$6</f>
        <v>0</v>
      </c>
      <c r="E29" s="9" t="s">
        <v>17</v>
      </c>
      <c r="F29" s="12" t="n">
        <f aca="false">'Returns Summary'!C$22</f>
        <v>0</v>
      </c>
    </row>
    <row r="30" customFormat="false" ht="15" hidden="false" customHeight="true" outlineLevel="0" collapsed="false">
      <c r="B30" s="9" t="s">
        <v>345</v>
      </c>
      <c r="C30" s="12" t="n">
        <f aca="false">Assumptions!$C$50</f>
        <v>0</v>
      </c>
      <c r="E30" s="9" t="s">
        <v>15</v>
      </c>
      <c r="F30" s="11" t="n">
        <f aca="false">'Returns Summary'!C$24</f>
        <v>0</v>
      </c>
    </row>
    <row r="31" customFormat="false" ht="15" hidden="false" customHeight="true" outlineLevel="0" collapsed="false">
      <c r="B31" s="9" t="s">
        <v>97</v>
      </c>
      <c r="C31" s="11" t="n">
        <f aca="false">Assumptions!$C$51</f>
        <v>0</v>
      </c>
      <c r="E31" s="9" t="s">
        <v>346</v>
      </c>
      <c r="F31" s="12" t="n">
        <f aca="false">'Returns Summary'!C$26</f>
        <v>0</v>
      </c>
    </row>
    <row r="32" customFormat="false" ht="15" hidden="false" customHeight="true" outlineLevel="0" collapsed="false">
      <c r="B32" s="9" t="s">
        <v>98</v>
      </c>
      <c r="C32" s="11" t="n">
        <f aca="false">Assumptions!$C$52</f>
        <v>0</v>
      </c>
      <c r="E32" s="9" t="s">
        <v>262</v>
      </c>
      <c r="F32" s="46" t="n">
        <f aca="false">'Returns Summary'!C$23</f>
        <v>0</v>
      </c>
    </row>
    <row r="34" customFormat="false" ht="15" hidden="false" customHeight="true" outlineLevel="0" collapsed="false">
      <c r="B34" s="7" t="s">
        <v>260</v>
      </c>
      <c r="C34" s="8"/>
      <c r="E34" s="7" t="s">
        <v>347</v>
      </c>
      <c r="F34" s="95"/>
    </row>
    <row r="35" customFormat="false" ht="15" hidden="false" customHeight="true" outlineLevel="0" collapsed="false">
      <c r="B35" s="9" t="s">
        <v>261</v>
      </c>
      <c r="C35" s="11" t="n">
        <f aca="false">'Returns Summary'!C$15</f>
        <v>0</v>
      </c>
      <c r="E35" s="9" t="s">
        <v>348</v>
      </c>
      <c r="F35" s="11" t="str">
        <f aca="false">IF(Assumptions!$C$73="Yes",Waterfall!C$79,"N/A")</f>
        <v>N/A</v>
      </c>
    </row>
    <row r="36" customFormat="false" ht="15" hidden="false" customHeight="true" outlineLevel="0" collapsed="false">
      <c r="B36" s="9" t="s">
        <v>17</v>
      </c>
      <c r="C36" s="12" t="n">
        <f aca="false">'Returns Summary'!C$16</f>
        <v>0</v>
      </c>
      <c r="E36" s="9" t="s">
        <v>349</v>
      </c>
      <c r="F36" s="11" t="str">
        <f aca="false">IF(Assumptions!$C$73="Yes",Waterfall!D$79,"N/A")</f>
        <v>N/A</v>
      </c>
    </row>
    <row r="37" customFormat="false" ht="15" hidden="false" customHeight="true" outlineLevel="0" collapsed="false">
      <c r="B37" s="9" t="s">
        <v>15</v>
      </c>
      <c r="C37" s="11" t="n">
        <f aca="false">'Returns Summary'!C$18</f>
        <v>0</v>
      </c>
      <c r="E37" s="9" t="s">
        <v>304</v>
      </c>
      <c r="F37" s="46" t="n">
        <f aca="false">IF(Assumptions!$C$73="Yes",Waterfall!C$88,0)</f>
        <v>0</v>
      </c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5" activeCellId="0" sqref="A55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14" min="3" style="0" width="14.67"/>
  </cols>
  <sheetData>
    <row r="2" customFormat="false" ht="15" hidden="false" customHeight="true" outlineLevel="0" collapsed="false">
      <c r="C2" s="0" t="n">
        <v>0</v>
      </c>
      <c r="D2" s="0" t="n">
        <f aca="false">C2+1</f>
        <v>1</v>
      </c>
      <c r="E2" s="0" t="n">
        <f aca="false">D2+1</f>
        <v>2</v>
      </c>
      <c r="F2" s="0" t="n">
        <f aca="false">E2+1</f>
        <v>3</v>
      </c>
      <c r="G2" s="0" t="n">
        <f aca="false">F2+1</f>
        <v>4</v>
      </c>
      <c r="H2" s="0" t="n">
        <f aca="false">G2+1</f>
        <v>5</v>
      </c>
      <c r="I2" s="0" t="n">
        <f aca="false">H2+1</f>
        <v>6</v>
      </c>
      <c r="J2" s="0" t="n">
        <f aca="false">I2+1</f>
        <v>7</v>
      </c>
      <c r="K2" s="0" t="n">
        <f aca="false">J2+1</f>
        <v>8</v>
      </c>
      <c r="L2" s="0" t="n">
        <f aca="false">K2+1</f>
        <v>9</v>
      </c>
      <c r="M2" s="0" t="n">
        <f aca="false">L2+1</f>
        <v>10</v>
      </c>
    </row>
    <row r="3" customFormat="false" ht="15" hidden="false" customHeight="true" outlineLevel="0" collapsed="false">
      <c r="C3" s="98" t="n">
        <f aca="false">-Assumptions!$C$70</f>
        <v>-0</v>
      </c>
      <c r="D3" s="98" t="n">
        <f aca="false" t="array" ref="D3:D3">IF(D$2&gt;Assumptions!$H$15,0,(INDEX('Pro Forma'!$D$26:$M$26,D$2)+INDEX('Pro Forma'!$D$9:$M$9,D$2)*(((1+Assumptions!$H$16+$O3)/(1+Assumptions!$H$16))^D$2-1))-IF(Assumptions!$C$37=1,Assumptions!$C$68,IF(Assumptions!$C$37=2,Assumptions!$C$69,IF(D$2&lt;=Assumptions!$C$41,Assumptions!$C$68,Assumptions!$C$69)))-Assumptions!$C$58-IF(Assumptions!$C$28=1,IF(D$2=1,Assumptions!$C$26,0),Assumptions!$C$26/Assumptions!$H$15)-Assumptions!$C$33+IF(D$2=Assumptions!$H$15,(INDEX('Pro Forma'!$D$26:$M$26,Assumptions!$H$15)+INDEX('Pro Forma'!$D$9:$M$9,Assumptions!$H$15)*(((1+Assumptions!$H$16+$O3)/(1+Assumptions!$H$16))^Assumptions!$H$15-1))/IF((Assumptions!$C$22+$P3)=0,1,Assumptions!$C$22+$P3)*(1-Assumptions!$C$23)-INDEX('Debt Schedule'!$C$8:$L$8,Assumptions!$H$15)-INDEX('Debt Schedule'!$C$19:$L$19,Assumptions!$H$15),0))</f>
        <v>0</v>
      </c>
      <c r="E3" s="98" t="n">
        <f aca="false" t="array" ref="E3:E3">IF(E$2&gt;Assumptions!$H$15,0,(INDEX('Pro Forma'!$D$26:$M$26,E$2)+INDEX('Pro Forma'!$D$9:$M$9,E$2)*(((1+Assumptions!$H$16+$O3)/(1+Assumptions!$H$16))^E$2-1))-IF(Assumptions!$C$37=1,Assumptions!$C$68,IF(Assumptions!$C$37=2,Assumptions!$C$69,IF(E$2&lt;=Assumptions!$C$41,Assumptions!$C$68,Assumptions!$C$69)))-Assumptions!$C$58-IF(Assumptions!$C$28=1,IF(E$2=1,Assumptions!$C$26,0),Assumptions!$C$26/Assumptions!$H$15)-Assumptions!$C$33+IF(E$2=Assumptions!$H$15,(INDEX('Pro Forma'!$D$26:$M$26,Assumptions!$H$15)+INDEX('Pro Forma'!$D$9:$M$9,Assumptions!$H$15)*(((1+Assumptions!$H$16+$O3)/(1+Assumptions!$H$16))^Assumptions!$H$15-1))/IF((Assumptions!$C$22+$P3)=0,1,Assumptions!$C$22+$P3)*(1-Assumptions!$C$23)-INDEX('Debt Schedule'!$C$8:$L$8,Assumptions!$H$15)-INDEX('Debt Schedule'!$C$19:$L$19,Assumptions!$H$15),0))</f>
        <v>0</v>
      </c>
      <c r="F3" s="98" t="n">
        <f aca="false" t="array" ref="F3:F3">IF(F$2&gt;Assumptions!$H$15,0,(INDEX('Pro Forma'!$D$26:$M$26,F$2)+INDEX('Pro Forma'!$D$9:$M$9,F$2)*(((1+Assumptions!$H$16+$O3)/(1+Assumptions!$H$16))^F$2-1))-IF(Assumptions!$C$37=1,Assumptions!$C$68,IF(Assumptions!$C$37=2,Assumptions!$C$69,IF(F$2&lt;=Assumptions!$C$41,Assumptions!$C$68,Assumptions!$C$69)))-Assumptions!$C$58-IF(Assumptions!$C$28=1,IF(F$2=1,Assumptions!$C$26,0),Assumptions!$C$26/Assumptions!$H$15)-Assumptions!$C$33+IF(F$2=Assumptions!$H$15,(INDEX('Pro Forma'!$D$26:$M$26,Assumptions!$H$15)+INDEX('Pro Forma'!$D$9:$M$9,Assumptions!$H$15)*(((1+Assumptions!$H$16+$O3)/(1+Assumptions!$H$16))^Assumptions!$H$15-1))/IF((Assumptions!$C$22+$P3)=0,1,Assumptions!$C$22+$P3)*(1-Assumptions!$C$23)-INDEX('Debt Schedule'!$C$8:$L$8,Assumptions!$H$15)-INDEX('Debt Schedule'!$C$19:$L$19,Assumptions!$H$15),0))</f>
        <v>0</v>
      </c>
      <c r="G3" s="98" t="n">
        <f aca="false" t="array" ref="G3:G3">IF(G$2&gt;Assumptions!$H$15,0,(INDEX('Pro Forma'!$D$26:$M$26,G$2)+INDEX('Pro Forma'!$D$9:$M$9,G$2)*(((1+Assumptions!$H$16+$O3)/(1+Assumptions!$H$16))^G$2-1))-IF(Assumptions!$C$37=1,Assumptions!$C$68,IF(Assumptions!$C$37=2,Assumptions!$C$69,IF(G$2&lt;=Assumptions!$C$41,Assumptions!$C$68,Assumptions!$C$69)))-Assumptions!$C$58-IF(Assumptions!$C$28=1,IF(G$2=1,Assumptions!$C$26,0),Assumptions!$C$26/Assumptions!$H$15)-Assumptions!$C$33+IF(G$2=Assumptions!$H$15,(INDEX('Pro Forma'!$D$26:$M$26,Assumptions!$H$15)+INDEX('Pro Forma'!$D$9:$M$9,Assumptions!$H$15)*(((1+Assumptions!$H$16+$O3)/(1+Assumptions!$H$16))^Assumptions!$H$15-1))/IF((Assumptions!$C$22+$P3)=0,1,Assumptions!$C$22+$P3)*(1-Assumptions!$C$23)-INDEX('Debt Schedule'!$C$8:$L$8,Assumptions!$H$15)-INDEX('Debt Schedule'!$C$19:$L$19,Assumptions!$H$15),0))</f>
        <v>0</v>
      </c>
      <c r="H3" s="98" t="n">
        <f aca="false" t="array" ref="H3:H3">IF(H$2&gt;Assumptions!$H$15,0,(INDEX('Pro Forma'!$D$26:$M$26,H$2)+INDEX('Pro Forma'!$D$9:$M$9,H$2)*(((1+Assumptions!$H$16+$O3)/(1+Assumptions!$H$16))^H$2-1))-IF(Assumptions!$C$37=1,Assumptions!$C$68,IF(Assumptions!$C$37=2,Assumptions!$C$69,IF(H$2&lt;=Assumptions!$C$41,Assumptions!$C$68,Assumptions!$C$69)))-Assumptions!$C$58-IF(Assumptions!$C$28=1,IF(H$2=1,Assumptions!$C$26,0),Assumptions!$C$26/Assumptions!$H$15)-Assumptions!$C$33+IF(H$2=Assumptions!$H$15,(INDEX('Pro Forma'!$D$26:$M$26,Assumptions!$H$15)+INDEX('Pro Forma'!$D$9:$M$9,Assumptions!$H$15)*(((1+Assumptions!$H$16+$O3)/(1+Assumptions!$H$16))^Assumptions!$H$15-1))/IF((Assumptions!$C$22+$P3)=0,1,Assumptions!$C$22+$P3)*(1-Assumptions!$C$23)-INDEX('Debt Schedule'!$C$8:$L$8,Assumptions!$H$15)-INDEX('Debt Schedule'!$C$19:$L$19,Assumptions!$H$15),0))</f>
        <v>0</v>
      </c>
      <c r="I3" s="98" t="n">
        <f aca="false" t="array" ref="I3:I3">IF(I$2&gt;Assumptions!$H$15,0,(INDEX('Pro Forma'!$D$26:$M$26,I$2)+INDEX('Pro Forma'!$D$9:$M$9,I$2)*(((1+Assumptions!$H$16+$O3)/(1+Assumptions!$H$16))^I$2-1))-IF(Assumptions!$C$37=1,Assumptions!$C$68,IF(Assumptions!$C$37=2,Assumptions!$C$69,IF(I$2&lt;=Assumptions!$C$41,Assumptions!$C$68,Assumptions!$C$69)))-Assumptions!$C$58-IF(Assumptions!$C$28=1,IF(I$2=1,Assumptions!$C$26,0),Assumptions!$C$26/Assumptions!$H$15)-Assumptions!$C$33+IF(I$2=Assumptions!$H$15,(INDEX('Pro Forma'!$D$26:$M$26,Assumptions!$H$15)+INDEX('Pro Forma'!$D$9:$M$9,Assumptions!$H$15)*(((1+Assumptions!$H$16+$O3)/(1+Assumptions!$H$16))^Assumptions!$H$15-1))/IF((Assumptions!$C$22+$P3)=0,1,Assumptions!$C$22+$P3)*(1-Assumptions!$C$23)-INDEX('Debt Schedule'!$C$8:$L$8,Assumptions!$H$15)-INDEX('Debt Schedule'!$C$19:$L$19,Assumptions!$H$15),0))</f>
        <v>0</v>
      </c>
      <c r="J3" s="98" t="n">
        <f aca="false" t="array" ref="J3:J3">IF(J$2&gt;Assumptions!$H$15,0,(INDEX('Pro Forma'!$D$26:$M$26,J$2)+INDEX('Pro Forma'!$D$9:$M$9,J$2)*(((1+Assumptions!$H$16+$O3)/(1+Assumptions!$H$16))^J$2-1))-IF(Assumptions!$C$37=1,Assumptions!$C$68,IF(Assumptions!$C$37=2,Assumptions!$C$69,IF(J$2&lt;=Assumptions!$C$41,Assumptions!$C$68,Assumptions!$C$69)))-Assumptions!$C$58-IF(Assumptions!$C$28=1,IF(J$2=1,Assumptions!$C$26,0),Assumptions!$C$26/Assumptions!$H$15)-Assumptions!$C$33+IF(J$2=Assumptions!$H$15,(INDEX('Pro Forma'!$D$26:$M$26,Assumptions!$H$15)+INDEX('Pro Forma'!$D$9:$M$9,Assumptions!$H$15)*(((1+Assumptions!$H$16+$O3)/(1+Assumptions!$H$16))^Assumptions!$H$15-1))/IF((Assumptions!$C$22+$P3)=0,1,Assumptions!$C$22+$P3)*(1-Assumptions!$C$23)-INDEX('Debt Schedule'!$C$8:$L$8,Assumptions!$H$15)-INDEX('Debt Schedule'!$C$19:$L$19,Assumptions!$H$15),0))</f>
        <v>0</v>
      </c>
      <c r="K3" s="98" t="n">
        <f aca="false" t="array" ref="K3:K3">IF(K$2&gt;Assumptions!$H$15,0,(INDEX('Pro Forma'!$D$26:$M$26,K$2)+INDEX('Pro Forma'!$D$9:$M$9,K$2)*(((1+Assumptions!$H$16+$O3)/(1+Assumptions!$H$16))^K$2-1))-IF(Assumptions!$C$37=1,Assumptions!$C$68,IF(Assumptions!$C$37=2,Assumptions!$C$69,IF(K$2&lt;=Assumptions!$C$41,Assumptions!$C$68,Assumptions!$C$69)))-Assumptions!$C$58-IF(Assumptions!$C$28=1,IF(K$2=1,Assumptions!$C$26,0),Assumptions!$C$26/Assumptions!$H$15)-Assumptions!$C$33+IF(K$2=Assumptions!$H$15,(INDEX('Pro Forma'!$D$26:$M$26,Assumptions!$H$15)+INDEX('Pro Forma'!$D$9:$M$9,Assumptions!$H$15)*(((1+Assumptions!$H$16+$O3)/(1+Assumptions!$H$16))^Assumptions!$H$15-1))/IF((Assumptions!$C$22+$P3)=0,1,Assumptions!$C$22+$P3)*(1-Assumptions!$C$23)-INDEX('Debt Schedule'!$C$8:$L$8,Assumptions!$H$15)-INDEX('Debt Schedule'!$C$19:$L$19,Assumptions!$H$15),0))</f>
        <v>0</v>
      </c>
      <c r="L3" s="98" t="n">
        <f aca="false" t="array" ref="L3:L3">IF(L$2&gt;Assumptions!$H$15,0,(INDEX('Pro Forma'!$D$26:$M$26,L$2)+INDEX('Pro Forma'!$D$9:$M$9,L$2)*(((1+Assumptions!$H$16+$O3)/(1+Assumptions!$H$16))^L$2-1))-IF(Assumptions!$C$37=1,Assumptions!$C$68,IF(Assumptions!$C$37=2,Assumptions!$C$69,IF(L$2&lt;=Assumptions!$C$41,Assumptions!$C$68,Assumptions!$C$69)))-Assumptions!$C$58-IF(Assumptions!$C$28=1,IF(L$2=1,Assumptions!$C$26,0),Assumptions!$C$26/Assumptions!$H$15)-Assumptions!$C$33+IF(L$2=Assumptions!$H$15,(INDEX('Pro Forma'!$D$26:$M$26,Assumptions!$H$15)+INDEX('Pro Forma'!$D$9:$M$9,Assumptions!$H$15)*(((1+Assumptions!$H$16+$O3)/(1+Assumptions!$H$16))^Assumptions!$H$15-1))/IF((Assumptions!$C$22+$P3)=0,1,Assumptions!$C$22+$P3)*(1-Assumptions!$C$23)-INDEX('Debt Schedule'!$C$8:$L$8,Assumptions!$H$15)-INDEX('Debt Schedule'!$C$19:$L$19,Assumptions!$H$15),0))</f>
        <v>0</v>
      </c>
      <c r="M3" s="98" t="n">
        <f aca="false" t="array" ref="M3:M3">IF(M$2&gt;Assumptions!$H$15,0,(INDEX('Pro Forma'!$D$26:$M$26,M$2)+INDEX('Pro Forma'!$D$9:$M$9,M$2)*(((1+Assumptions!$H$16+$O3)/(1+Assumptions!$H$16))^M$2-1))-IF(Assumptions!$C$37=1,Assumptions!$C$68,IF(Assumptions!$C$37=2,Assumptions!$C$69,IF(M$2&lt;=Assumptions!$C$41,Assumptions!$C$68,Assumptions!$C$69)))-Assumptions!$C$58-IF(Assumptions!$C$28=1,IF(M$2=1,Assumptions!$C$26,0),Assumptions!$C$26/Assumptions!$H$15)-Assumptions!$C$33+IF(M$2=Assumptions!$H$15,(INDEX('Pro Forma'!$D$26:$M$26,Assumptions!$H$15)+INDEX('Pro Forma'!$D$9:$M$9,Assumptions!$H$15)*(((1+Assumptions!$H$16+$O3)/(1+Assumptions!$H$16))^Assumptions!$H$15-1))/IF((Assumptions!$C$22+$P3)=0,1,Assumptions!$C$22+$P3)*(1-Assumptions!$C$23)-INDEX('Debt Schedule'!$C$8:$L$8,Assumptions!$H$15)-INDEX('Debt Schedule'!$C$19:$L$19,Assumptions!$H$15),0))</f>
        <v>0</v>
      </c>
      <c r="N3" s="99" t="n">
        <f aca="false">IFERROR(IRR(C3:M3),0)</f>
        <v>0</v>
      </c>
      <c r="O3" s="100" t="n">
        <f aca="false">(MOD(ROW()-3,5)-2)*0.005</f>
        <v>-0.01</v>
      </c>
      <c r="P3" s="100" t="n">
        <f aca="false">(INT((ROW()-3)/5)-2)*0.0025</f>
        <v>-0.005</v>
      </c>
    </row>
    <row r="4" customFormat="false" ht="15" hidden="false" customHeight="true" outlineLevel="0" collapsed="false">
      <c r="C4" s="98" t="n">
        <f aca="false">-Assumptions!$C$70</f>
        <v>-0</v>
      </c>
      <c r="D4" s="98" t="n">
        <f aca="false" t="array" ref="D4:D4">IF(D$2&gt;Assumptions!$H$15,0,(INDEX('Pro Forma'!$D$26:$M$26,D$2)+INDEX('Pro Forma'!$D$9:$M$9,D$2)*(((1+Assumptions!$H$16+$O4)/(1+Assumptions!$H$16))^D$2-1))-IF(Assumptions!$C$37=1,Assumptions!$C$68,IF(Assumptions!$C$37=2,Assumptions!$C$69,IF(D$2&lt;=Assumptions!$C$41,Assumptions!$C$68,Assumptions!$C$69)))-Assumptions!$C$58-IF(Assumptions!$C$28=1,IF(D$2=1,Assumptions!$C$26,0),Assumptions!$C$26/Assumptions!$H$15)-Assumptions!$C$33+IF(D$2=Assumptions!$H$15,(INDEX('Pro Forma'!$D$26:$M$26,Assumptions!$H$15)+INDEX('Pro Forma'!$D$9:$M$9,Assumptions!$H$15)*(((1+Assumptions!$H$16+$O4)/(1+Assumptions!$H$16))^Assumptions!$H$15-1))/IF((Assumptions!$C$22+$P4)=0,1,Assumptions!$C$22+$P4)*(1-Assumptions!$C$23)-INDEX('Debt Schedule'!$C$8:$L$8,Assumptions!$H$15)-INDEX('Debt Schedule'!$C$19:$L$19,Assumptions!$H$15),0))</f>
        <v>0</v>
      </c>
      <c r="E4" s="98" t="n">
        <f aca="false" t="array" ref="E4:E4">IF(E$2&gt;Assumptions!$H$15,0,(INDEX('Pro Forma'!$D$26:$M$26,E$2)+INDEX('Pro Forma'!$D$9:$M$9,E$2)*(((1+Assumptions!$H$16+$O4)/(1+Assumptions!$H$16))^E$2-1))-IF(Assumptions!$C$37=1,Assumptions!$C$68,IF(Assumptions!$C$37=2,Assumptions!$C$69,IF(E$2&lt;=Assumptions!$C$41,Assumptions!$C$68,Assumptions!$C$69)))-Assumptions!$C$58-IF(Assumptions!$C$28=1,IF(E$2=1,Assumptions!$C$26,0),Assumptions!$C$26/Assumptions!$H$15)-Assumptions!$C$33+IF(E$2=Assumptions!$H$15,(INDEX('Pro Forma'!$D$26:$M$26,Assumptions!$H$15)+INDEX('Pro Forma'!$D$9:$M$9,Assumptions!$H$15)*(((1+Assumptions!$H$16+$O4)/(1+Assumptions!$H$16))^Assumptions!$H$15-1))/IF((Assumptions!$C$22+$P4)=0,1,Assumptions!$C$22+$P4)*(1-Assumptions!$C$23)-INDEX('Debt Schedule'!$C$8:$L$8,Assumptions!$H$15)-INDEX('Debt Schedule'!$C$19:$L$19,Assumptions!$H$15),0))</f>
        <v>0</v>
      </c>
      <c r="F4" s="98" t="n">
        <f aca="false" t="array" ref="F4:F4">IF(F$2&gt;Assumptions!$H$15,0,(INDEX('Pro Forma'!$D$26:$M$26,F$2)+INDEX('Pro Forma'!$D$9:$M$9,F$2)*(((1+Assumptions!$H$16+$O4)/(1+Assumptions!$H$16))^F$2-1))-IF(Assumptions!$C$37=1,Assumptions!$C$68,IF(Assumptions!$C$37=2,Assumptions!$C$69,IF(F$2&lt;=Assumptions!$C$41,Assumptions!$C$68,Assumptions!$C$69)))-Assumptions!$C$58-IF(Assumptions!$C$28=1,IF(F$2=1,Assumptions!$C$26,0),Assumptions!$C$26/Assumptions!$H$15)-Assumptions!$C$33+IF(F$2=Assumptions!$H$15,(INDEX('Pro Forma'!$D$26:$M$26,Assumptions!$H$15)+INDEX('Pro Forma'!$D$9:$M$9,Assumptions!$H$15)*(((1+Assumptions!$H$16+$O4)/(1+Assumptions!$H$16))^Assumptions!$H$15-1))/IF((Assumptions!$C$22+$P4)=0,1,Assumptions!$C$22+$P4)*(1-Assumptions!$C$23)-INDEX('Debt Schedule'!$C$8:$L$8,Assumptions!$H$15)-INDEX('Debt Schedule'!$C$19:$L$19,Assumptions!$H$15),0))</f>
        <v>0</v>
      </c>
      <c r="G4" s="98" t="n">
        <f aca="false" t="array" ref="G4:G4">IF(G$2&gt;Assumptions!$H$15,0,(INDEX('Pro Forma'!$D$26:$M$26,G$2)+INDEX('Pro Forma'!$D$9:$M$9,G$2)*(((1+Assumptions!$H$16+$O4)/(1+Assumptions!$H$16))^G$2-1))-IF(Assumptions!$C$37=1,Assumptions!$C$68,IF(Assumptions!$C$37=2,Assumptions!$C$69,IF(G$2&lt;=Assumptions!$C$41,Assumptions!$C$68,Assumptions!$C$69)))-Assumptions!$C$58-IF(Assumptions!$C$28=1,IF(G$2=1,Assumptions!$C$26,0),Assumptions!$C$26/Assumptions!$H$15)-Assumptions!$C$33+IF(G$2=Assumptions!$H$15,(INDEX('Pro Forma'!$D$26:$M$26,Assumptions!$H$15)+INDEX('Pro Forma'!$D$9:$M$9,Assumptions!$H$15)*(((1+Assumptions!$H$16+$O4)/(1+Assumptions!$H$16))^Assumptions!$H$15-1))/IF((Assumptions!$C$22+$P4)=0,1,Assumptions!$C$22+$P4)*(1-Assumptions!$C$23)-INDEX('Debt Schedule'!$C$8:$L$8,Assumptions!$H$15)-INDEX('Debt Schedule'!$C$19:$L$19,Assumptions!$H$15),0))</f>
        <v>0</v>
      </c>
      <c r="H4" s="98" t="n">
        <f aca="false" t="array" ref="H4:H4">IF(H$2&gt;Assumptions!$H$15,0,(INDEX('Pro Forma'!$D$26:$M$26,H$2)+INDEX('Pro Forma'!$D$9:$M$9,H$2)*(((1+Assumptions!$H$16+$O4)/(1+Assumptions!$H$16))^H$2-1))-IF(Assumptions!$C$37=1,Assumptions!$C$68,IF(Assumptions!$C$37=2,Assumptions!$C$69,IF(H$2&lt;=Assumptions!$C$41,Assumptions!$C$68,Assumptions!$C$69)))-Assumptions!$C$58-IF(Assumptions!$C$28=1,IF(H$2=1,Assumptions!$C$26,0),Assumptions!$C$26/Assumptions!$H$15)-Assumptions!$C$33+IF(H$2=Assumptions!$H$15,(INDEX('Pro Forma'!$D$26:$M$26,Assumptions!$H$15)+INDEX('Pro Forma'!$D$9:$M$9,Assumptions!$H$15)*(((1+Assumptions!$H$16+$O4)/(1+Assumptions!$H$16))^Assumptions!$H$15-1))/IF((Assumptions!$C$22+$P4)=0,1,Assumptions!$C$22+$P4)*(1-Assumptions!$C$23)-INDEX('Debt Schedule'!$C$8:$L$8,Assumptions!$H$15)-INDEX('Debt Schedule'!$C$19:$L$19,Assumptions!$H$15),0))</f>
        <v>0</v>
      </c>
      <c r="I4" s="98" t="n">
        <f aca="false" t="array" ref="I4:I4">IF(I$2&gt;Assumptions!$H$15,0,(INDEX('Pro Forma'!$D$26:$M$26,I$2)+INDEX('Pro Forma'!$D$9:$M$9,I$2)*(((1+Assumptions!$H$16+$O4)/(1+Assumptions!$H$16))^I$2-1))-IF(Assumptions!$C$37=1,Assumptions!$C$68,IF(Assumptions!$C$37=2,Assumptions!$C$69,IF(I$2&lt;=Assumptions!$C$41,Assumptions!$C$68,Assumptions!$C$69)))-Assumptions!$C$58-IF(Assumptions!$C$28=1,IF(I$2=1,Assumptions!$C$26,0),Assumptions!$C$26/Assumptions!$H$15)-Assumptions!$C$33+IF(I$2=Assumptions!$H$15,(INDEX('Pro Forma'!$D$26:$M$26,Assumptions!$H$15)+INDEX('Pro Forma'!$D$9:$M$9,Assumptions!$H$15)*(((1+Assumptions!$H$16+$O4)/(1+Assumptions!$H$16))^Assumptions!$H$15-1))/IF((Assumptions!$C$22+$P4)=0,1,Assumptions!$C$22+$P4)*(1-Assumptions!$C$23)-INDEX('Debt Schedule'!$C$8:$L$8,Assumptions!$H$15)-INDEX('Debt Schedule'!$C$19:$L$19,Assumptions!$H$15),0))</f>
        <v>0</v>
      </c>
      <c r="J4" s="98" t="n">
        <f aca="false" t="array" ref="J4:J4">IF(J$2&gt;Assumptions!$H$15,0,(INDEX('Pro Forma'!$D$26:$M$26,J$2)+INDEX('Pro Forma'!$D$9:$M$9,J$2)*(((1+Assumptions!$H$16+$O4)/(1+Assumptions!$H$16))^J$2-1))-IF(Assumptions!$C$37=1,Assumptions!$C$68,IF(Assumptions!$C$37=2,Assumptions!$C$69,IF(J$2&lt;=Assumptions!$C$41,Assumptions!$C$68,Assumptions!$C$69)))-Assumptions!$C$58-IF(Assumptions!$C$28=1,IF(J$2=1,Assumptions!$C$26,0),Assumptions!$C$26/Assumptions!$H$15)-Assumptions!$C$33+IF(J$2=Assumptions!$H$15,(INDEX('Pro Forma'!$D$26:$M$26,Assumptions!$H$15)+INDEX('Pro Forma'!$D$9:$M$9,Assumptions!$H$15)*(((1+Assumptions!$H$16+$O4)/(1+Assumptions!$H$16))^Assumptions!$H$15-1))/IF((Assumptions!$C$22+$P4)=0,1,Assumptions!$C$22+$P4)*(1-Assumptions!$C$23)-INDEX('Debt Schedule'!$C$8:$L$8,Assumptions!$H$15)-INDEX('Debt Schedule'!$C$19:$L$19,Assumptions!$H$15),0))</f>
        <v>0</v>
      </c>
      <c r="K4" s="98" t="n">
        <f aca="false" t="array" ref="K4:K4">IF(K$2&gt;Assumptions!$H$15,0,(INDEX('Pro Forma'!$D$26:$M$26,K$2)+INDEX('Pro Forma'!$D$9:$M$9,K$2)*(((1+Assumptions!$H$16+$O4)/(1+Assumptions!$H$16))^K$2-1))-IF(Assumptions!$C$37=1,Assumptions!$C$68,IF(Assumptions!$C$37=2,Assumptions!$C$69,IF(K$2&lt;=Assumptions!$C$41,Assumptions!$C$68,Assumptions!$C$69)))-Assumptions!$C$58-IF(Assumptions!$C$28=1,IF(K$2=1,Assumptions!$C$26,0),Assumptions!$C$26/Assumptions!$H$15)-Assumptions!$C$33+IF(K$2=Assumptions!$H$15,(INDEX('Pro Forma'!$D$26:$M$26,Assumptions!$H$15)+INDEX('Pro Forma'!$D$9:$M$9,Assumptions!$H$15)*(((1+Assumptions!$H$16+$O4)/(1+Assumptions!$H$16))^Assumptions!$H$15-1))/IF((Assumptions!$C$22+$P4)=0,1,Assumptions!$C$22+$P4)*(1-Assumptions!$C$23)-INDEX('Debt Schedule'!$C$8:$L$8,Assumptions!$H$15)-INDEX('Debt Schedule'!$C$19:$L$19,Assumptions!$H$15),0))</f>
        <v>0</v>
      </c>
      <c r="L4" s="98" t="n">
        <f aca="false" t="array" ref="L4:L4">IF(L$2&gt;Assumptions!$H$15,0,(INDEX('Pro Forma'!$D$26:$M$26,L$2)+INDEX('Pro Forma'!$D$9:$M$9,L$2)*(((1+Assumptions!$H$16+$O4)/(1+Assumptions!$H$16))^L$2-1))-IF(Assumptions!$C$37=1,Assumptions!$C$68,IF(Assumptions!$C$37=2,Assumptions!$C$69,IF(L$2&lt;=Assumptions!$C$41,Assumptions!$C$68,Assumptions!$C$69)))-Assumptions!$C$58-IF(Assumptions!$C$28=1,IF(L$2=1,Assumptions!$C$26,0),Assumptions!$C$26/Assumptions!$H$15)-Assumptions!$C$33+IF(L$2=Assumptions!$H$15,(INDEX('Pro Forma'!$D$26:$M$26,Assumptions!$H$15)+INDEX('Pro Forma'!$D$9:$M$9,Assumptions!$H$15)*(((1+Assumptions!$H$16+$O4)/(1+Assumptions!$H$16))^Assumptions!$H$15-1))/IF((Assumptions!$C$22+$P4)=0,1,Assumptions!$C$22+$P4)*(1-Assumptions!$C$23)-INDEX('Debt Schedule'!$C$8:$L$8,Assumptions!$H$15)-INDEX('Debt Schedule'!$C$19:$L$19,Assumptions!$H$15),0))</f>
        <v>0</v>
      </c>
      <c r="M4" s="98" t="n">
        <f aca="false" t="array" ref="M4:M4">IF(M$2&gt;Assumptions!$H$15,0,(INDEX('Pro Forma'!$D$26:$M$26,M$2)+INDEX('Pro Forma'!$D$9:$M$9,M$2)*(((1+Assumptions!$H$16+$O4)/(1+Assumptions!$H$16))^M$2-1))-IF(Assumptions!$C$37=1,Assumptions!$C$68,IF(Assumptions!$C$37=2,Assumptions!$C$69,IF(M$2&lt;=Assumptions!$C$41,Assumptions!$C$68,Assumptions!$C$69)))-Assumptions!$C$58-IF(Assumptions!$C$28=1,IF(M$2=1,Assumptions!$C$26,0),Assumptions!$C$26/Assumptions!$H$15)-Assumptions!$C$33+IF(M$2=Assumptions!$H$15,(INDEX('Pro Forma'!$D$26:$M$26,Assumptions!$H$15)+INDEX('Pro Forma'!$D$9:$M$9,Assumptions!$H$15)*(((1+Assumptions!$H$16+$O4)/(1+Assumptions!$H$16))^Assumptions!$H$15-1))/IF((Assumptions!$C$22+$P4)=0,1,Assumptions!$C$22+$P4)*(1-Assumptions!$C$23)-INDEX('Debt Schedule'!$C$8:$L$8,Assumptions!$H$15)-INDEX('Debt Schedule'!$C$19:$L$19,Assumptions!$H$15),0))</f>
        <v>0</v>
      </c>
      <c r="N4" s="99" t="n">
        <f aca="false">IFERROR(IRR(C4:M4),0)</f>
        <v>0</v>
      </c>
      <c r="O4" s="100" t="n">
        <f aca="false">(MOD(ROW()-3,5)-2)*0.005</f>
        <v>-0.005</v>
      </c>
      <c r="P4" s="100" t="n">
        <f aca="false">(INT((ROW()-3)/5)-2)*0.0025</f>
        <v>-0.005</v>
      </c>
    </row>
    <row r="5" customFormat="false" ht="15" hidden="false" customHeight="true" outlineLevel="0" collapsed="false">
      <c r="C5" s="98" t="n">
        <f aca="false">-Assumptions!$C$70</f>
        <v>-0</v>
      </c>
      <c r="D5" s="98" t="n">
        <f aca="false" t="array" ref="D5:D5">IF(D$2&gt;Assumptions!$H$15,0,(INDEX('Pro Forma'!$D$26:$M$26,D$2)+INDEX('Pro Forma'!$D$9:$M$9,D$2)*(((1+Assumptions!$H$16+$O5)/(1+Assumptions!$H$16))^D$2-1))-IF(Assumptions!$C$37=1,Assumptions!$C$68,IF(Assumptions!$C$37=2,Assumptions!$C$69,IF(D$2&lt;=Assumptions!$C$41,Assumptions!$C$68,Assumptions!$C$69)))-Assumptions!$C$58-IF(Assumptions!$C$28=1,IF(D$2=1,Assumptions!$C$26,0),Assumptions!$C$26/Assumptions!$H$15)-Assumptions!$C$33+IF(D$2=Assumptions!$H$15,(INDEX('Pro Forma'!$D$26:$M$26,Assumptions!$H$15)+INDEX('Pro Forma'!$D$9:$M$9,Assumptions!$H$15)*(((1+Assumptions!$H$16+$O5)/(1+Assumptions!$H$16))^Assumptions!$H$15-1))/IF((Assumptions!$C$22+$P5)=0,1,Assumptions!$C$22+$P5)*(1-Assumptions!$C$23)-INDEX('Debt Schedule'!$C$8:$L$8,Assumptions!$H$15)-INDEX('Debt Schedule'!$C$19:$L$19,Assumptions!$H$15),0))</f>
        <v>0</v>
      </c>
      <c r="E5" s="98" t="n">
        <f aca="false" t="array" ref="E5:E5">IF(E$2&gt;Assumptions!$H$15,0,(INDEX('Pro Forma'!$D$26:$M$26,E$2)+INDEX('Pro Forma'!$D$9:$M$9,E$2)*(((1+Assumptions!$H$16+$O5)/(1+Assumptions!$H$16))^E$2-1))-IF(Assumptions!$C$37=1,Assumptions!$C$68,IF(Assumptions!$C$37=2,Assumptions!$C$69,IF(E$2&lt;=Assumptions!$C$41,Assumptions!$C$68,Assumptions!$C$69)))-Assumptions!$C$58-IF(Assumptions!$C$28=1,IF(E$2=1,Assumptions!$C$26,0),Assumptions!$C$26/Assumptions!$H$15)-Assumptions!$C$33+IF(E$2=Assumptions!$H$15,(INDEX('Pro Forma'!$D$26:$M$26,Assumptions!$H$15)+INDEX('Pro Forma'!$D$9:$M$9,Assumptions!$H$15)*(((1+Assumptions!$H$16+$O5)/(1+Assumptions!$H$16))^Assumptions!$H$15-1))/IF((Assumptions!$C$22+$P5)=0,1,Assumptions!$C$22+$P5)*(1-Assumptions!$C$23)-INDEX('Debt Schedule'!$C$8:$L$8,Assumptions!$H$15)-INDEX('Debt Schedule'!$C$19:$L$19,Assumptions!$H$15),0))</f>
        <v>0</v>
      </c>
      <c r="F5" s="98" t="n">
        <f aca="false" t="array" ref="F5:F5">IF(F$2&gt;Assumptions!$H$15,0,(INDEX('Pro Forma'!$D$26:$M$26,F$2)+INDEX('Pro Forma'!$D$9:$M$9,F$2)*(((1+Assumptions!$H$16+$O5)/(1+Assumptions!$H$16))^F$2-1))-IF(Assumptions!$C$37=1,Assumptions!$C$68,IF(Assumptions!$C$37=2,Assumptions!$C$69,IF(F$2&lt;=Assumptions!$C$41,Assumptions!$C$68,Assumptions!$C$69)))-Assumptions!$C$58-IF(Assumptions!$C$28=1,IF(F$2=1,Assumptions!$C$26,0),Assumptions!$C$26/Assumptions!$H$15)-Assumptions!$C$33+IF(F$2=Assumptions!$H$15,(INDEX('Pro Forma'!$D$26:$M$26,Assumptions!$H$15)+INDEX('Pro Forma'!$D$9:$M$9,Assumptions!$H$15)*(((1+Assumptions!$H$16+$O5)/(1+Assumptions!$H$16))^Assumptions!$H$15-1))/IF((Assumptions!$C$22+$P5)=0,1,Assumptions!$C$22+$P5)*(1-Assumptions!$C$23)-INDEX('Debt Schedule'!$C$8:$L$8,Assumptions!$H$15)-INDEX('Debt Schedule'!$C$19:$L$19,Assumptions!$H$15),0))</f>
        <v>0</v>
      </c>
      <c r="G5" s="98" t="n">
        <f aca="false" t="array" ref="G5:G5">IF(G$2&gt;Assumptions!$H$15,0,(INDEX('Pro Forma'!$D$26:$M$26,G$2)+INDEX('Pro Forma'!$D$9:$M$9,G$2)*(((1+Assumptions!$H$16+$O5)/(1+Assumptions!$H$16))^G$2-1))-IF(Assumptions!$C$37=1,Assumptions!$C$68,IF(Assumptions!$C$37=2,Assumptions!$C$69,IF(G$2&lt;=Assumptions!$C$41,Assumptions!$C$68,Assumptions!$C$69)))-Assumptions!$C$58-IF(Assumptions!$C$28=1,IF(G$2=1,Assumptions!$C$26,0),Assumptions!$C$26/Assumptions!$H$15)-Assumptions!$C$33+IF(G$2=Assumptions!$H$15,(INDEX('Pro Forma'!$D$26:$M$26,Assumptions!$H$15)+INDEX('Pro Forma'!$D$9:$M$9,Assumptions!$H$15)*(((1+Assumptions!$H$16+$O5)/(1+Assumptions!$H$16))^Assumptions!$H$15-1))/IF((Assumptions!$C$22+$P5)=0,1,Assumptions!$C$22+$P5)*(1-Assumptions!$C$23)-INDEX('Debt Schedule'!$C$8:$L$8,Assumptions!$H$15)-INDEX('Debt Schedule'!$C$19:$L$19,Assumptions!$H$15),0))</f>
        <v>0</v>
      </c>
      <c r="H5" s="98" t="n">
        <f aca="false" t="array" ref="H5:H5">IF(H$2&gt;Assumptions!$H$15,0,(INDEX('Pro Forma'!$D$26:$M$26,H$2)+INDEX('Pro Forma'!$D$9:$M$9,H$2)*(((1+Assumptions!$H$16+$O5)/(1+Assumptions!$H$16))^H$2-1))-IF(Assumptions!$C$37=1,Assumptions!$C$68,IF(Assumptions!$C$37=2,Assumptions!$C$69,IF(H$2&lt;=Assumptions!$C$41,Assumptions!$C$68,Assumptions!$C$69)))-Assumptions!$C$58-IF(Assumptions!$C$28=1,IF(H$2=1,Assumptions!$C$26,0),Assumptions!$C$26/Assumptions!$H$15)-Assumptions!$C$33+IF(H$2=Assumptions!$H$15,(INDEX('Pro Forma'!$D$26:$M$26,Assumptions!$H$15)+INDEX('Pro Forma'!$D$9:$M$9,Assumptions!$H$15)*(((1+Assumptions!$H$16+$O5)/(1+Assumptions!$H$16))^Assumptions!$H$15-1))/IF((Assumptions!$C$22+$P5)=0,1,Assumptions!$C$22+$P5)*(1-Assumptions!$C$23)-INDEX('Debt Schedule'!$C$8:$L$8,Assumptions!$H$15)-INDEX('Debt Schedule'!$C$19:$L$19,Assumptions!$H$15),0))</f>
        <v>0</v>
      </c>
      <c r="I5" s="98" t="n">
        <f aca="false" t="array" ref="I5:I5">IF(I$2&gt;Assumptions!$H$15,0,(INDEX('Pro Forma'!$D$26:$M$26,I$2)+INDEX('Pro Forma'!$D$9:$M$9,I$2)*(((1+Assumptions!$H$16+$O5)/(1+Assumptions!$H$16))^I$2-1))-IF(Assumptions!$C$37=1,Assumptions!$C$68,IF(Assumptions!$C$37=2,Assumptions!$C$69,IF(I$2&lt;=Assumptions!$C$41,Assumptions!$C$68,Assumptions!$C$69)))-Assumptions!$C$58-IF(Assumptions!$C$28=1,IF(I$2=1,Assumptions!$C$26,0),Assumptions!$C$26/Assumptions!$H$15)-Assumptions!$C$33+IF(I$2=Assumptions!$H$15,(INDEX('Pro Forma'!$D$26:$M$26,Assumptions!$H$15)+INDEX('Pro Forma'!$D$9:$M$9,Assumptions!$H$15)*(((1+Assumptions!$H$16+$O5)/(1+Assumptions!$H$16))^Assumptions!$H$15-1))/IF((Assumptions!$C$22+$P5)=0,1,Assumptions!$C$22+$P5)*(1-Assumptions!$C$23)-INDEX('Debt Schedule'!$C$8:$L$8,Assumptions!$H$15)-INDEX('Debt Schedule'!$C$19:$L$19,Assumptions!$H$15),0))</f>
        <v>0</v>
      </c>
      <c r="J5" s="98" t="n">
        <f aca="false" t="array" ref="J5:J5">IF(J$2&gt;Assumptions!$H$15,0,(INDEX('Pro Forma'!$D$26:$M$26,J$2)+INDEX('Pro Forma'!$D$9:$M$9,J$2)*(((1+Assumptions!$H$16+$O5)/(1+Assumptions!$H$16))^J$2-1))-IF(Assumptions!$C$37=1,Assumptions!$C$68,IF(Assumptions!$C$37=2,Assumptions!$C$69,IF(J$2&lt;=Assumptions!$C$41,Assumptions!$C$68,Assumptions!$C$69)))-Assumptions!$C$58-IF(Assumptions!$C$28=1,IF(J$2=1,Assumptions!$C$26,0),Assumptions!$C$26/Assumptions!$H$15)-Assumptions!$C$33+IF(J$2=Assumptions!$H$15,(INDEX('Pro Forma'!$D$26:$M$26,Assumptions!$H$15)+INDEX('Pro Forma'!$D$9:$M$9,Assumptions!$H$15)*(((1+Assumptions!$H$16+$O5)/(1+Assumptions!$H$16))^Assumptions!$H$15-1))/IF((Assumptions!$C$22+$P5)=0,1,Assumptions!$C$22+$P5)*(1-Assumptions!$C$23)-INDEX('Debt Schedule'!$C$8:$L$8,Assumptions!$H$15)-INDEX('Debt Schedule'!$C$19:$L$19,Assumptions!$H$15),0))</f>
        <v>0</v>
      </c>
      <c r="K5" s="98" t="n">
        <f aca="false" t="array" ref="K5:K5">IF(K$2&gt;Assumptions!$H$15,0,(INDEX('Pro Forma'!$D$26:$M$26,K$2)+INDEX('Pro Forma'!$D$9:$M$9,K$2)*(((1+Assumptions!$H$16+$O5)/(1+Assumptions!$H$16))^K$2-1))-IF(Assumptions!$C$37=1,Assumptions!$C$68,IF(Assumptions!$C$37=2,Assumptions!$C$69,IF(K$2&lt;=Assumptions!$C$41,Assumptions!$C$68,Assumptions!$C$69)))-Assumptions!$C$58-IF(Assumptions!$C$28=1,IF(K$2=1,Assumptions!$C$26,0),Assumptions!$C$26/Assumptions!$H$15)-Assumptions!$C$33+IF(K$2=Assumptions!$H$15,(INDEX('Pro Forma'!$D$26:$M$26,Assumptions!$H$15)+INDEX('Pro Forma'!$D$9:$M$9,Assumptions!$H$15)*(((1+Assumptions!$H$16+$O5)/(1+Assumptions!$H$16))^Assumptions!$H$15-1))/IF((Assumptions!$C$22+$P5)=0,1,Assumptions!$C$22+$P5)*(1-Assumptions!$C$23)-INDEX('Debt Schedule'!$C$8:$L$8,Assumptions!$H$15)-INDEX('Debt Schedule'!$C$19:$L$19,Assumptions!$H$15),0))</f>
        <v>0</v>
      </c>
      <c r="L5" s="98" t="n">
        <f aca="false" t="array" ref="L5:L5">IF(L$2&gt;Assumptions!$H$15,0,(INDEX('Pro Forma'!$D$26:$M$26,L$2)+INDEX('Pro Forma'!$D$9:$M$9,L$2)*(((1+Assumptions!$H$16+$O5)/(1+Assumptions!$H$16))^L$2-1))-IF(Assumptions!$C$37=1,Assumptions!$C$68,IF(Assumptions!$C$37=2,Assumptions!$C$69,IF(L$2&lt;=Assumptions!$C$41,Assumptions!$C$68,Assumptions!$C$69)))-Assumptions!$C$58-IF(Assumptions!$C$28=1,IF(L$2=1,Assumptions!$C$26,0),Assumptions!$C$26/Assumptions!$H$15)-Assumptions!$C$33+IF(L$2=Assumptions!$H$15,(INDEX('Pro Forma'!$D$26:$M$26,Assumptions!$H$15)+INDEX('Pro Forma'!$D$9:$M$9,Assumptions!$H$15)*(((1+Assumptions!$H$16+$O5)/(1+Assumptions!$H$16))^Assumptions!$H$15-1))/IF((Assumptions!$C$22+$P5)=0,1,Assumptions!$C$22+$P5)*(1-Assumptions!$C$23)-INDEX('Debt Schedule'!$C$8:$L$8,Assumptions!$H$15)-INDEX('Debt Schedule'!$C$19:$L$19,Assumptions!$H$15),0))</f>
        <v>0</v>
      </c>
      <c r="M5" s="98" t="n">
        <f aca="false" t="array" ref="M5:M5">IF(M$2&gt;Assumptions!$H$15,0,(INDEX('Pro Forma'!$D$26:$M$26,M$2)+INDEX('Pro Forma'!$D$9:$M$9,M$2)*(((1+Assumptions!$H$16+$O5)/(1+Assumptions!$H$16))^M$2-1))-IF(Assumptions!$C$37=1,Assumptions!$C$68,IF(Assumptions!$C$37=2,Assumptions!$C$69,IF(M$2&lt;=Assumptions!$C$41,Assumptions!$C$68,Assumptions!$C$69)))-Assumptions!$C$58-IF(Assumptions!$C$28=1,IF(M$2=1,Assumptions!$C$26,0),Assumptions!$C$26/Assumptions!$H$15)-Assumptions!$C$33+IF(M$2=Assumptions!$H$15,(INDEX('Pro Forma'!$D$26:$M$26,Assumptions!$H$15)+INDEX('Pro Forma'!$D$9:$M$9,Assumptions!$H$15)*(((1+Assumptions!$H$16+$O5)/(1+Assumptions!$H$16))^Assumptions!$H$15-1))/IF((Assumptions!$C$22+$P5)=0,1,Assumptions!$C$22+$P5)*(1-Assumptions!$C$23)-INDEX('Debt Schedule'!$C$8:$L$8,Assumptions!$H$15)-INDEX('Debt Schedule'!$C$19:$L$19,Assumptions!$H$15),0))</f>
        <v>0</v>
      </c>
      <c r="N5" s="99" t="n">
        <f aca="false">IFERROR(IRR(C5:M5),0)</f>
        <v>0</v>
      </c>
      <c r="O5" s="100" t="n">
        <f aca="false">(MOD(ROW()-3,5)-2)*0.005</f>
        <v>0</v>
      </c>
      <c r="P5" s="100" t="n">
        <f aca="false">(INT((ROW()-3)/5)-2)*0.0025</f>
        <v>-0.005</v>
      </c>
    </row>
    <row r="6" customFormat="false" ht="15" hidden="false" customHeight="true" outlineLevel="0" collapsed="false">
      <c r="C6" s="98" t="n">
        <f aca="false">-Assumptions!$C$70</f>
        <v>-0</v>
      </c>
      <c r="D6" s="98" t="n">
        <f aca="false" t="array" ref="D6:D6">IF(D$2&gt;Assumptions!$H$15,0,(INDEX('Pro Forma'!$D$26:$M$26,D$2)+INDEX('Pro Forma'!$D$9:$M$9,D$2)*(((1+Assumptions!$H$16+$O6)/(1+Assumptions!$H$16))^D$2-1))-IF(Assumptions!$C$37=1,Assumptions!$C$68,IF(Assumptions!$C$37=2,Assumptions!$C$69,IF(D$2&lt;=Assumptions!$C$41,Assumptions!$C$68,Assumptions!$C$69)))-Assumptions!$C$58-IF(Assumptions!$C$28=1,IF(D$2=1,Assumptions!$C$26,0),Assumptions!$C$26/Assumptions!$H$15)-Assumptions!$C$33+IF(D$2=Assumptions!$H$15,(INDEX('Pro Forma'!$D$26:$M$26,Assumptions!$H$15)+INDEX('Pro Forma'!$D$9:$M$9,Assumptions!$H$15)*(((1+Assumptions!$H$16+$O6)/(1+Assumptions!$H$16))^Assumptions!$H$15-1))/IF((Assumptions!$C$22+$P6)=0,1,Assumptions!$C$22+$P6)*(1-Assumptions!$C$23)-INDEX('Debt Schedule'!$C$8:$L$8,Assumptions!$H$15)-INDEX('Debt Schedule'!$C$19:$L$19,Assumptions!$H$15),0))</f>
        <v>0</v>
      </c>
      <c r="E6" s="98" t="n">
        <f aca="false" t="array" ref="E6:E6">IF(E$2&gt;Assumptions!$H$15,0,(INDEX('Pro Forma'!$D$26:$M$26,E$2)+INDEX('Pro Forma'!$D$9:$M$9,E$2)*(((1+Assumptions!$H$16+$O6)/(1+Assumptions!$H$16))^E$2-1))-IF(Assumptions!$C$37=1,Assumptions!$C$68,IF(Assumptions!$C$37=2,Assumptions!$C$69,IF(E$2&lt;=Assumptions!$C$41,Assumptions!$C$68,Assumptions!$C$69)))-Assumptions!$C$58-IF(Assumptions!$C$28=1,IF(E$2=1,Assumptions!$C$26,0),Assumptions!$C$26/Assumptions!$H$15)-Assumptions!$C$33+IF(E$2=Assumptions!$H$15,(INDEX('Pro Forma'!$D$26:$M$26,Assumptions!$H$15)+INDEX('Pro Forma'!$D$9:$M$9,Assumptions!$H$15)*(((1+Assumptions!$H$16+$O6)/(1+Assumptions!$H$16))^Assumptions!$H$15-1))/IF((Assumptions!$C$22+$P6)=0,1,Assumptions!$C$22+$P6)*(1-Assumptions!$C$23)-INDEX('Debt Schedule'!$C$8:$L$8,Assumptions!$H$15)-INDEX('Debt Schedule'!$C$19:$L$19,Assumptions!$H$15),0))</f>
        <v>0</v>
      </c>
      <c r="F6" s="98" t="n">
        <f aca="false" t="array" ref="F6:F6">IF(F$2&gt;Assumptions!$H$15,0,(INDEX('Pro Forma'!$D$26:$M$26,F$2)+INDEX('Pro Forma'!$D$9:$M$9,F$2)*(((1+Assumptions!$H$16+$O6)/(1+Assumptions!$H$16))^F$2-1))-IF(Assumptions!$C$37=1,Assumptions!$C$68,IF(Assumptions!$C$37=2,Assumptions!$C$69,IF(F$2&lt;=Assumptions!$C$41,Assumptions!$C$68,Assumptions!$C$69)))-Assumptions!$C$58-IF(Assumptions!$C$28=1,IF(F$2=1,Assumptions!$C$26,0),Assumptions!$C$26/Assumptions!$H$15)-Assumptions!$C$33+IF(F$2=Assumptions!$H$15,(INDEX('Pro Forma'!$D$26:$M$26,Assumptions!$H$15)+INDEX('Pro Forma'!$D$9:$M$9,Assumptions!$H$15)*(((1+Assumptions!$H$16+$O6)/(1+Assumptions!$H$16))^Assumptions!$H$15-1))/IF((Assumptions!$C$22+$P6)=0,1,Assumptions!$C$22+$P6)*(1-Assumptions!$C$23)-INDEX('Debt Schedule'!$C$8:$L$8,Assumptions!$H$15)-INDEX('Debt Schedule'!$C$19:$L$19,Assumptions!$H$15),0))</f>
        <v>0</v>
      </c>
      <c r="G6" s="98" t="n">
        <f aca="false" t="array" ref="G6:G6">IF(G$2&gt;Assumptions!$H$15,0,(INDEX('Pro Forma'!$D$26:$M$26,G$2)+INDEX('Pro Forma'!$D$9:$M$9,G$2)*(((1+Assumptions!$H$16+$O6)/(1+Assumptions!$H$16))^G$2-1))-IF(Assumptions!$C$37=1,Assumptions!$C$68,IF(Assumptions!$C$37=2,Assumptions!$C$69,IF(G$2&lt;=Assumptions!$C$41,Assumptions!$C$68,Assumptions!$C$69)))-Assumptions!$C$58-IF(Assumptions!$C$28=1,IF(G$2=1,Assumptions!$C$26,0),Assumptions!$C$26/Assumptions!$H$15)-Assumptions!$C$33+IF(G$2=Assumptions!$H$15,(INDEX('Pro Forma'!$D$26:$M$26,Assumptions!$H$15)+INDEX('Pro Forma'!$D$9:$M$9,Assumptions!$H$15)*(((1+Assumptions!$H$16+$O6)/(1+Assumptions!$H$16))^Assumptions!$H$15-1))/IF((Assumptions!$C$22+$P6)=0,1,Assumptions!$C$22+$P6)*(1-Assumptions!$C$23)-INDEX('Debt Schedule'!$C$8:$L$8,Assumptions!$H$15)-INDEX('Debt Schedule'!$C$19:$L$19,Assumptions!$H$15),0))</f>
        <v>0</v>
      </c>
      <c r="H6" s="98" t="n">
        <f aca="false" t="array" ref="H6:H6">IF(H$2&gt;Assumptions!$H$15,0,(INDEX('Pro Forma'!$D$26:$M$26,H$2)+INDEX('Pro Forma'!$D$9:$M$9,H$2)*(((1+Assumptions!$H$16+$O6)/(1+Assumptions!$H$16))^H$2-1))-IF(Assumptions!$C$37=1,Assumptions!$C$68,IF(Assumptions!$C$37=2,Assumptions!$C$69,IF(H$2&lt;=Assumptions!$C$41,Assumptions!$C$68,Assumptions!$C$69)))-Assumptions!$C$58-IF(Assumptions!$C$28=1,IF(H$2=1,Assumptions!$C$26,0),Assumptions!$C$26/Assumptions!$H$15)-Assumptions!$C$33+IF(H$2=Assumptions!$H$15,(INDEX('Pro Forma'!$D$26:$M$26,Assumptions!$H$15)+INDEX('Pro Forma'!$D$9:$M$9,Assumptions!$H$15)*(((1+Assumptions!$H$16+$O6)/(1+Assumptions!$H$16))^Assumptions!$H$15-1))/IF((Assumptions!$C$22+$P6)=0,1,Assumptions!$C$22+$P6)*(1-Assumptions!$C$23)-INDEX('Debt Schedule'!$C$8:$L$8,Assumptions!$H$15)-INDEX('Debt Schedule'!$C$19:$L$19,Assumptions!$H$15),0))</f>
        <v>0</v>
      </c>
      <c r="I6" s="98" t="n">
        <f aca="false" t="array" ref="I6:I6">IF(I$2&gt;Assumptions!$H$15,0,(INDEX('Pro Forma'!$D$26:$M$26,I$2)+INDEX('Pro Forma'!$D$9:$M$9,I$2)*(((1+Assumptions!$H$16+$O6)/(1+Assumptions!$H$16))^I$2-1))-IF(Assumptions!$C$37=1,Assumptions!$C$68,IF(Assumptions!$C$37=2,Assumptions!$C$69,IF(I$2&lt;=Assumptions!$C$41,Assumptions!$C$68,Assumptions!$C$69)))-Assumptions!$C$58-IF(Assumptions!$C$28=1,IF(I$2=1,Assumptions!$C$26,0),Assumptions!$C$26/Assumptions!$H$15)-Assumptions!$C$33+IF(I$2=Assumptions!$H$15,(INDEX('Pro Forma'!$D$26:$M$26,Assumptions!$H$15)+INDEX('Pro Forma'!$D$9:$M$9,Assumptions!$H$15)*(((1+Assumptions!$H$16+$O6)/(1+Assumptions!$H$16))^Assumptions!$H$15-1))/IF((Assumptions!$C$22+$P6)=0,1,Assumptions!$C$22+$P6)*(1-Assumptions!$C$23)-INDEX('Debt Schedule'!$C$8:$L$8,Assumptions!$H$15)-INDEX('Debt Schedule'!$C$19:$L$19,Assumptions!$H$15),0))</f>
        <v>0</v>
      </c>
      <c r="J6" s="98" t="n">
        <f aca="false" t="array" ref="J6:J6">IF(J$2&gt;Assumptions!$H$15,0,(INDEX('Pro Forma'!$D$26:$M$26,J$2)+INDEX('Pro Forma'!$D$9:$M$9,J$2)*(((1+Assumptions!$H$16+$O6)/(1+Assumptions!$H$16))^J$2-1))-IF(Assumptions!$C$37=1,Assumptions!$C$68,IF(Assumptions!$C$37=2,Assumptions!$C$69,IF(J$2&lt;=Assumptions!$C$41,Assumptions!$C$68,Assumptions!$C$69)))-Assumptions!$C$58-IF(Assumptions!$C$28=1,IF(J$2=1,Assumptions!$C$26,0),Assumptions!$C$26/Assumptions!$H$15)-Assumptions!$C$33+IF(J$2=Assumptions!$H$15,(INDEX('Pro Forma'!$D$26:$M$26,Assumptions!$H$15)+INDEX('Pro Forma'!$D$9:$M$9,Assumptions!$H$15)*(((1+Assumptions!$H$16+$O6)/(1+Assumptions!$H$16))^Assumptions!$H$15-1))/IF((Assumptions!$C$22+$P6)=0,1,Assumptions!$C$22+$P6)*(1-Assumptions!$C$23)-INDEX('Debt Schedule'!$C$8:$L$8,Assumptions!$H$15)-INDEX('Debt Schedule'!$C$19:$L$19,Assumptions!$H$15),0))</f>
        <v>0</v>
      </c>
      <c r="K6" s="98" t="n">
        <f aca="false" t="array" ref="K6:K6">IF(K$2&gt;Assumptions!$H$15,0,(INDEX('Pro Forma'!$D$26:$M$26,K$2)+INDEX('Pro Forma'!$D$9:$M$9,K$2)*(((1+Assumptions!$H$16+$O6)/(1+Assumptions!$H$16))^K$2-1))-IF(Assumptions!$C$37=1,Assumptions!$C$68,IF(Assumptions!$C$37=2,Assumptions!$C$69,IF(K$2&lt;=Assumptions!$C$41,Assumptions!$C$68,Assumptions!$C$69)))-Assumptions!$C$58-IF(Assumptions!$C$28=1,IF(K$2=1,Assumptions!$C$26,0),Assumptions!$C$26/Assumptions!$H$15)-Assumptions!$C$33+IF(K$2=Assumptions!$H$15,(INDEX('Pro Forma'!$D$26:$M$26,Assumptions!$H$15)+INDEX('Pro Forma'!$D$9:$M$9,Assumptions!$H$15)*(((1+Assumptions!$H$16+$O6)/(1+Assumptions!$H$16))^Assumptions!$H$15-1))/IF((Assumptions!$C$22+$P6)=0,1,Assumptions!$C$22+$P6)*(1-Assumptions!$C$23)-INDEX('Debt Schedule'!$C$8:$L$8,Assumptions!$H$15)-INDEX('Debt Schedule'!$C$19:$L$19,Assumptions!$H$15),0))</f>
        <v>0</v>
      </c>
      <c r="L6" s="98" t="n">
        <f aca="false" t="array" ref="L6:L6">IF(L$2&gt;Assumptions!$H$15,0,(INDEX('Pro Forma'!$D$26:$M$26,L$2)+INDEX('Pro Forma'!$D$9:$M$9,L$2)*(((1+Assumptions!$H$16+$O6)/(1+Assumptions!$H$16))^L$2-1))-IF(Assumptions!$C$37=1,Assumptions!$C$68,IF(Assumptions!$C$37=2,Assumptions!$C$69,IF(L$2&lt;=Assumptions!$C$41,Assumptions!$C$68,Assumptions!$C$69)))-Assumptions!$C$58-IF(Assumptions!$C$28=1,IF(L$2=1,Assumptions!$C$26,0),Assumptions!$C$26/Assumptions!$H$15)-Assumptions!$C$33+IF(L$2=Assumptions!$H$15,(INDEX('Pro Forma'!$D$26:$M$26,Assumptions!$H$15)+INDEX('Pro Forma'!$D$9:$M$9,Assumptions!$H$15)*(((1+Assumptions!$H$16+$O6)/(1+Assumptions!$H$16))^Assumptions!$H$15-1))/IF((Assumptions!$C$22+$P6)=0,1,Assumptions!$C$22+$P6)*(1-Assumptions!$C$23)-INDEX('Debt Schedule'!$C$8:$L$8,Assumptions!$H$15)-INDEX('Debt Schedule'!$C$19:$L$19,Assumptions!$H$15),0))</f>
        <v>0</v>
      </c>
      <c r="M6" s="98" t="n">
        <f aca="false" t="array" ref="M6:M6">IF(M$2&gt;Assumptions!$H$15,0,(INDEX('Pro Forma'!$D$26:$M$26,M$2)+INDEX('Pro Forma'!$D$9:$M$9,M$2)*(((1+Assumptions!$H$16+$O6)/(1+Assumptions!$H$16))^M$2-1))-IF(Assumptions!$C$37=1,Assumptions!$C$68,IF(Assumptions!$C$37=2,Assumptions!$C$69,IF(M$2&lt;=Assumptions!$C$41,Assumptions!$C$68,Assumptions!$C$69)))-Assumptions!$C$58-IF(Assumptions!$C$28=1,IF(M$2=1,Assumptions!$C$26,0),Assumptions!$C$26/Assumptions!$H$15)-Assumptions!$C$33+IF(M$2=Assumptions!$H$15,(INDEX('Pro Forma'!$D$26:$M$26,Assumptions!$H$15)+INDEX('Pro Forma'!$D$9:$M$9,Assumptions!$H$15)*(((1+Assumptions!$H$16+$O6)/(1+Assumptions!$H$16))^Assumptions!$H$15-1))/IF((Assumptions!$C$22+$P6)=0,1,Assumptions!$C$22+$P6)*(1-Assumptions!$C$23)-INDEX('Debt Schedule'!$C$8:$L$8,Assumptions!$H$15)-INDEX('Debt Schedule'!$C$19:$L$19,Assumptions!$H$15),0))</f>
        <v>0</v>
      </c>
      <c r="N6" s="99" t="n">
        <f aca="false">IFERROR(IRR(C6:M6),0)</f>
        <v>0</v>
      </c>
      <c r="O6" s="100" t="n">
        <f aca="false">(MOD(ROW()-3,5)-2)*0.005</f>
        <v>0.005</v>
      </c>
      <c r="P6" s="100" t="n">
        <f aca="false">(INT((ROW()-3)/5)-2)*0.0025</f>
        <v>-0.005</v>
      </c>
    </row>
    <row r="7" customFormat="false" ht="15" hidden="false" customHeight="true" outlineLevel="0" collapsed="false">
      <c r="C7" s="98" t="n">
        <f aca="false">-Assumptions!$C$70</f>
        <v>-0</v>
      </c>
      <c r="D7" s="98" t="n">
        <f aca="false" t="array" ref="D7:D7">IF(D$2&gt;Assumptions!$H$15,0,(INDEX('Pro Forma'!$D$26:$M$26,D$2)+INDEX('Pro Forma'!$D$9:$M$9,D$2)*(((1+Assumptions!$H$16+$O7)/(1+Assumptions!$H$16))^D$2-1))-IF(Assumptions!$C$37=1,Assumptions!$C$68,IF(Assumptions!$C$37=2,Assumptions!$C$69,IF(D$2&lt;=Assumptions!$C$41,Assumptions!$C$68,Assumptions!$C$69)))-Assumptions!$C$58-IF(Assumptions!$C$28=1,IF(D$2=1,Assumptions!$C$26,0),Assumptions!$C$26/Assumptions!$H$15)-Assumptions!$C$33+IF(D$2=Assumptions!$H$15,(INDEX('Pro Forma'!$D$26:$M$26,Assumptions!$H$15)+INDEX('Pro Forma'!$D$9:$M$9,Assumptions!$H$15)*(((1+Assumptions!$H$16+$O7)/(1+Assumptions!$H$16))^Assumptions!$H$15-1))/IF((Assumptions!$C$22+$P7)=0,1,Assumptions!$C$22+$P7)*(1-Assumptions!$C$23)-INDEX('Debt Schedule'!$C$8:$L$8,Assumptions!$H$15)-INDEX('Debt Schedule'!$C$19:$L$19,Assumptions!$H$15),0))</f>
        <v>0</v>
      </c>
      <c r="E7" s="98" t="n">
        <f aca="false" t="array" ref="E7:E7">IF(E$2&gt;Assumptions!$H$15,0,(INDEX('Pro Forma'!$D$26:$M$26,E$2)+INDEX('Pro Forma'!$D$9:$M$9,E$2)*(((1+Assumptions!$H$16+$O7)/(1+Assumptions!$H$16))^E$2-1))-IF(Assumptions!$C$37=1,Assumptions!$C$68,IF(Assumptions!$C$37=2,Assumptions!$C$69,IF(E$2&lt;=Assumptions!$C$41,Assumptions!$C$68,Assumptions!$C$69)))-Assumptions!$C$58-IF(Assumptions!$C$28=1,IF(E$2=1,Assumptions!$C$26,0),Assumptions!$C$26/Assumptions!$H$15)-Assumptions!$C$33+IF(E$2=Assumptions!$H$15,(INDEX('Pro Forma'!$D$26:$M$26,Assumptions!$H$15)+INDEX('Pro Forma'!$D$9:$M$9,Assumptions!$H$15)*(((1+Assumptions!$H$16+$O7)/(1+Assumptions!$H$16))^Assumptions!$H$15-1))/IF((Assumptions!$C$22+$P7)=0,1,Assumptions!$C$22+$P7)*(1-Assumptions!$C$23)-INDEX('Debt Schedule'!$C$8:$L$8,Assumptions!$H$15)-INDEX('Debt Schedule'!$C$19:$L$19,Assumptions!$H$15),0))</f>
        <v>0</v>
      </c>
      <c r="F7" s="98" t="n">
        <f aca="false" t="array" ref="F7:F7">IF(F$2&gt;Assumptions!$H$15,0,(INDEX('Pro Forma'!$D$26:$M$26,F$2)+INDEX('Pro Forma'!$D$9:$M$9,F$2)*(((1+Assumptions!$H$16+$O7)/(1+Assumptions!$H$16))^F$2-1))-IF(Assumptions!$C$37=1,Assumptions!$C$68,IF(Assumptions!$C$37=2,Assumptions!$C$69,IF(F$2&lt;=Assumptions!$C$41,Assumptions!$C$68,Assumptions!$C$69)))-Assumptions!$C$58-IF(Assumptions!$C$28=1,IF(F$2=1,Assumptions!$C$26,0),Assumptions!$C$26/Assumptions!$H$15)-Assumptions!$C$33+IF(F$2=Assumptions!$H$15,(INDEX('Pro Forma'!$D$26:$M$26,Assumptions!$H$15)+INDEX('Pro Forma'!$D$9:$M$9,Assumptions!$H$15)*(((1+Assumptions!$H$16+$O7)/(1+Assumptions!$H$16))^Assumptions!$H$15-1))/IF((Assumptions!$C$22+$P7)=0,1,Assumptions!$C$22+$P7)*(1-Assumptions!$C$23)-INDEX('Debt Schedule'!$C$8:$L$8,Assumptions!$H$15)-INDEX('Debt Schedule'!$C$19:$L$19,Assumptions!$H$15),0))</f>
        <v>0</v>
      </c>
      <c r="G7" s="98" t="n">
        <f aca="false" t="array" ref="G7:G7">IF(G$2&gt;Assumptions!$H$15,0,(INDEX('Pro Forma'!$D$26:$M$26,G$2)+INDEX('Pro Forma'!$D$9:$M$9,G$2)*(((1+Assumptions!$H$16+$O7)/(1+Assumptions!$H$16))^G$2-1))-IF(Assumptions!$C$37=1,Assumptions!$C$68,IF(Assumptions!$C$37=2,Assumptions!$C$69,IF(G$2&lt;=Assumptions!$C$41,Assumptions!$C$68,Assumptions!$C$69)))-Assumptions!$C$58-IF(Assumptions!$C$28=1,IF(G$2=1,Assumptions!$C$26,0),Assumptions!$C$26/Assumptions!$H$15)-Assumptions!$C$33+IF(G$2=Assumptions!$H$15,(INDEX('Pro Forma'!$D$26:$M$26,Assumptions!$H$15)+INDEX('Pro Forma'!$D$9:$M$9,Assumptions!$H$15)*(((1+Assumptions!$H$16+$O7)/(1+Assumptions!$H$16))^Assumptions!$H$15-1))/IF((Assumptions!$C$22+$P7)=0,1,Assumptions!$C$22+$P7)*(1-Assumptions!$C$23)-INDEX('Debt Schedule'!$C$8:$L$8,Assumptions!$H$15)-INDEX('Debt Schedule'!$C$19:$L$19,Assumptions!$H$15),0))</f>
        <v>0</v>
      </c>
      <c r="H7" s="98" t="n">
        <f aca="false" t="array" ref="H7:H7">IF(H$2&gt;Assumptions!$H$15,0,(INDEX('Pro Forma'!$D$26:$M$26,H$2)+INDEX('Pro Forma'!$D$9:$M$9,H$2)*(((1+Assumptions!$H$16+$O7)/(1+Assumptions!$H$16))^H$2-1))-IF(Assumptions!$C$37=1,Assumptions!$C$68,IF(Assumptions!$C$37=2,Assumptions!$C$69,IF(H$2&lt;=Assumptions!$C$41,Assumptions!$C$68,Assumptions!$C$69)))-Assumptions!$C$58-IF(Assumptions!$C$28=1,IF(H$2=1,Assumptions!$C$26,0),Assumptions!$C$26/Assumptions!$H$15)-Assumptions!$C$33+IF(H$2=Assumptions!$H$15,(INDEX('Pro Forma'!$D$26:$M$26,Assumptions!$H$15)+INDEX('Pro Forma'!$D$9:$M$9,Assumptions!$H$15)*(((1+Assumptions!$H$16+$O7)/(1+Assumptions!$H$16))^Assumptions!$H$15-1))/IF((Assumptions!$C$22+$P7)=0,1,Assumptions!$C$22+$P7)*(1-Assumptions!$C$23)-INDEX('Debt Schedule'!$C$8:$L$8,Assumptions!$H$15)-INDEX('Debt Schedule'!$C$19:$L$19,Assumptions!$H$15),0))</f>
        <v>0</v>
      </c>
      <c r="I7" s="98" t="n">
        <f aca="false" t="array" ref="I7:I7">IF(I$2&gt;Assumptions!$H$15,0,(INDEX('Pro Forma'!$D$26:$M$26,I$2)+INDEX('Pro Forma'!$D$9:$M$9,I$2)*(((1+Assumptions!$H$16+$O7)/(1+Assumptions!$H$16))^I$2-1))-IF(Assumptions!$C$37=1,Assumptions!$C$68,IF(Assumptions!$C$37=2,Assumptions!$C$69,IF(I$2&lt;=Assumptions!$C$41,Assumptions!$C$68,Assumptions!$C$69)))-Assumptions!$C$58-IF(Assumptions!$C$28=1,IF(I$2=1,Assumptions!$C$26,0),Assumptions!$C$26/Assumptions!$H$15)-Assumptions!$C$33+IF(I$2=Assumptions!$H$15,(INDEX('Pro Forma'!$D$26:$M$26,Assumptions!$H$15)+INDEX('Pro Forma'!$D$9:$M$9,Assumptions!$H$15)*(((1+Assumptions!$H$16+$O7)/(1+Assumptions!$H$16))^Assumptions!$H$15-1))/IF((Assumptions!$C$22+$P7)=0,1,Assumptions!$C$22+$P7)*(1-Assumptions!$C$23)-INDEX('Debt Schedule'!$C$8:$L$8,Assumptions!$H$15)-INDEX('Debt Schedule'!$C$19:$L$19,Assumptions!$H$15),0))</f>
        <v>0</v>
      </c>
      <c r="J7" s="98" t="n">
        <f aca="false" t="array" ref="J7:J7">IF(J$2&gt;Assumptions!$H$15,0,(INDEX('Pro Forma'!$D$26:$M$26,J$2)+INDEX('Pro Forma'!$D$9:$M$9,J$2)*(((1+Assumptions!$H$16+$O7)/(1+Assumptions!$H$16))^J$2-1))-IF(Assumptions!$C$37=1,Assumptions!$C$68,IF(Assumptions!$C$37=2,Assumptions!$C$69,IF(J$2&lt;=Assumptions!$C$41,Assumptions!$C$68,Assumptions!$C$69)))-Assumptions!$C$58-IF(Assumptions!$C$28=1,IF(J$2=1,Assumptions!$C$26,0),Assumptions!$C$26/Assumptions!$H$15)-Assumptions!$C$33+IF(J$2=Assumptions!$H$15,(INDEX('Pro Forma'!$D$26:$M$26,Assumptions!$H$15)+INDEX('Pro Forma'!$D$9:$M$9,Assumptions!$H$15)*(((1+Assumptions!$H$16+$O7)/(1+Assumptions!$H$16))^Assumptions!$H$15-1))/IF((Assumptions!$C$22+$P7)=0,1,Assumptions!$C$22+$P7)*(1-Assumptions!$C$23)-INDEX('Debt Schedule'!$C$8:$L$8,Assumptions!$H$15)-INDEX('Debt Schedule'!$C$19:$L$19,Assumptions!$H$15),0))</f>
        <v>0</v>
      </c>
      <c r="K7" s="98" t="n">
        <f aca="false" t="array" ref="K7:K7">IF(K$2&gt;Assumptions!$H$15,0,(INDEX('Pro Forma'!$D$26:$M$26,K$2)+INDEX('Pro Forma'!$D$9:$M$9,K$2)*(((1+Assumptions!$H$16+$O7)/(1+Assumptions!$H$16))^K$2-1))-IF(Assumptions!$C$37=1,Assumptions!$C$68,IF(Assumptions!$C$37=2,Assumptions!$C$69,IF(K$2&lt;=Assumptions!$C$41,Assumptions!$C$68,Assumptions!$C$69)))-Assumptions!$C$58-IF(Assumptions!$C$28=1,IF(K$2=1,Assumptions!$C$26,0),Assumptions!$C$26/Assumptions!$H$15)-Assumptions!$C$33+IF(K$2=Assumptions!$H$15,(INDEX('Pro Forma'!$D$26:$M$26,Assumptions!$H$15)+INDEX('Pro Forma'!$D$9:$M$9,Assumptions!$H$15)*(((1+Assumptions!$H$16+$O7)/(1+Assumptions!$H$16))^Assumptions!$H$15-1))/IF((Assumptions!$C$22+$P7)=0,1,Assumptions!$C$22+$P7)*(1-Assumptions!$C$23)-INDEX('Debt Schedule'!$C$8:$L$8,Assumptions!$H$15)-INDEX('Debt Schedule'!$C$19:$L$19,Assumptions!$H$15),0))</f>
        <v>0</v>
      </c>
      <c r="L7" s="98" t="n">
        <f aca="false" t="array" ref="L7:L7">IF(L$2&gt;Assumptions!$H$15,0,(INDEX('Pro Forma'!$D$26:$M$26,L$2)+INDEX('Pro Forma'!$D$9:$M$9,L$2)*(((1+Assumptions!$H$16+$O7)/(1+Assumptions!$H$16))^L$2-1))-IF(Assumptions!$C$37=1,Assumptions!$C$68,IF(Assumptions!$C$37=2,Assumptions!$C$69,IF(L$2&lt;=Assumptions!$C$41,Assumptions!$C$68,Assumptions!$C$69)))-Assumptions!$C$58-IF(Assumptions!$C$28=1,IF(L$2=1,Assumptions!$C$26,0),Assumptions!$C$26/Assumptions!$H$15)-Assumptions!$C$33+IF(L$2=Assumptions!$H$15,(INDEX('Pro Forma'!$D$26:$M$26,Assumptions!$H$15)+INDEX('Pro Forma'!$D$9:$M$9,Assumptions!$H$15)*(((1+Assumptions!$H$16+$O7)/(1+Assumptions!$H$16))^Assumptions!$H$15-1))/IF((Assumptions!$C$22+$P7)=0,1,Assumptions!$C$22+$P7)*(1-Assumptions!$C$23)-INDEX('Debt Schedule'!$C$8:$L$8,Assumptions!$H$15)-INDEX('Debt Schedule'!$C$19:$L$19,Assumptions!$H$15),0))</f>
        <v>0</v>
      </c>
      <c r="M7" s="98" t="n">
        <f aca="false" t="array" ref="M7:M7">IF(M$2&gt;Assumptions!$H$15,0,(INDEX('Pro Forma'!$D$26:$M$26,M$2)+INDEX('Pro Forma'!$D$9:$M$9,M$2)*(((1+Assumptions!$H$16+$O7)/(1+Assumptions!$H$16))^M$2-1))-IF(Assumptions!$C$37=1,Assumptions!$C$68,IF(Assumptions!$C$37=2,Assumptions!$C$69,IF(M$2&lt;=Assumptions!$C$41,Assumptions!$C$68,Assumptions!$C$69)))-Assumptions!$C$58-IF(Assumptions!$C$28=1,IF(M$2=1,Assumptions!$C$26,0),Assumptions!$C$26/Assumptions!$H$15)-Assumptions!$C$33+IF(M$2=Assumptions!$H$15,(INDEX('Pro Forma'!$D$26:$M$26,Assumptions!$H$15)+INDEX('Pro Forma'!$D$9:$M$9,Assumptions!$H$15)*(((1+Assumptions!$H$16+$O7)/(1+Assumptions!$H$16))^Assumptions!$H$15-1))/IF((Assumptions!$C$22+$P7)=0,1,Assumptions!$C$22+$P7)*(1-Assumptions!$C$23)-INDEX('Debt Schedule'!$C$8:$L$8,Assumptions!$H$15)-INDEX('Debt Schedule'!$C$19:$L$19,Assumptions!$H$15),0))</f>
        <v>0</v>
      </c>
      <c r="N7" s="99" t="n">
        <f aca="false">IFERROR(IRR(C7:M7),0)</f>
        <v>0</v>
      </c>
      <c r="O7" s="100" t="n">
        <f aca="false">(MOD(ROW()-3,5)-2)*0.005</f>
        <v>0.01</v>
      </c>
      <c r="P7" s="100" t="n">
        <f aca="false">(INT((ROW()-3)/5)-2)*0.0025</f>
        <v>-0.005</v>
      </c>
    </row>
    <row r="8" customFormat="false" ht="15" hidden="false" customHeight="true" outlineLevel="0" collapsed="false">
      <c r="C8" s="98" t="n">
        <f aca="false">-Assumptions!$C$70</f>
        <v>-0</v>
      </c>
      <c r="D8" s="98" t="n">
        <f aca="false" t="array" ref="D8:D8">IF(D$2&gt;Assumptions!$H$15,0,(INDEX('Pro Forma'!$D$26:$M$26,D$2)+INDEX('Pro Forma'!$D$9:$M$9,D$2)*(((1+Assumptions!$H$16+$O8)/(1+Assumptions!$H$16))^D$2-1))-IF(Assumptions!$C$37=1,Assumptions!$C$68,IF(Assumptions!$C$37=2,Assumptions!$C$69,IF(D$2&lt;=Assumptions!$C$41,Assumptions!$C$68,Assumptions!$C$69)))-Assumptions!$C$58-IF(Assumptions!$C$28=1,IF(D$2=1,Assumptions!$C$26,0),Assumptions!$C$26/Assumptions!$H$15)-Assumptions!$C$33+IF(D$2=Assumptions!$H$15,(INDEX('Pro Forma'!$D$26:$M$26,Assumptions!$H$15)+INDEX('Pro Forma'!$D$9:$M$9,Assumptions!$H$15)*(((1+Assumptions!$H$16+$O8)/(1+Assumptions!$H$16))^Assumptions!$H$15-1))/IF((Assumptions!$C$22+$P8)=0,1,Assumptions!$C$22+$P8)*(1-Assumptions!$C$23)-INDEX('Debt Schedule'!$C$8:$L$8,Assumptions!$H$15)-INDEX('Debt Schedule'!$C$19:$L$19,Assumptions!$H$15),0))</f>
        <v>0</v>
      </c>
      <c r="E8" s="98" t="n">
        <f aca="false" t="array" ref="E8:E8">IF(E$2&gt;Assumptions!$H$15,0,(INDEX('Pro Forma'!$D$26:$M$26,E$2)+INDEX('Pro Forma'!$D$9:$M$9,E$2)*(((1+Assumptions!$H$16+$O8)/(1+Assumptions!$H$16))^E$2-1))-IF(Assumptions!$C$37=1,Assumptions!$C$68,IF(Assumptions!$C$37=2,Assumptions!$C$69,IF(E$2&lt;=Assumptions!$C$41,Assumptions!$C$68,Assumptions!$C$69)))-Assumptions!$C$58-IF(Assumptions!$C$28=1,IF(E$2=1,Assumptions!$C$26,0),Assumptions!$C$26/Assumptions!$H$15)-Assumptions!$C$33+IF(E$2=Assumptions!$H$15,(INDEX('Pro Forma'!$D$26:$M$26,Assumptions!$H$15)+INDEX('Pro Forma'!$D$9:$M$9,Assumptions!$H$15)*(((1+Assumptions!$H$16+$O8)/(1+Assumptions!$H$16))^Assumptions!$H$15-1))/IF((Assumptions!$C$22+$P8)=0,1,Assumptions!$C$22+$P8)*(1-Assumptions!$C$23)-INDEX('Debt Schedule'!$C$8:$L$8,Assumptions!$H$15)-INDEX('Debt Schedule'!$C$19:$L$19,Assumptions!$H$15),0))</f>
        <v>0</v>
      </c>
      <c r="F8" s="98" t="n">
        <f aca="false" t="array" ref="F8:F8">IF(F$2&gt;Assumptions!$H$15,0,(INDEX('Pro Forma'!$D$26:$M$26,F$2)+INDEX('Pro Forma'!$D$9:$M$9,F$2)*(((1+Assumptions!$H$16+$O8)/(1+Assumptions!$H$16))^F$2-1))-IF(Assumptions!$C$37=1,Assumptions!$C$68,IF(Assumptions!$C$37=2,Assumptions!$C$69,IF(F$2&lt;=Assumptions!$C$41,Assumptions!$C$68,Assumptions!$C$69)))-Assumptions!$C$58-IF(Assumptions!$C$28=1,IF(F$2=1,Assumptions!$C$26,0),Assumptions!$C$26/Assumptions!$H$15)-Assumptions!$C$33+IF(F$2=Assumptions!$H$15,(INDEX('Pro Forma'!$D$26:$M$26,Assumptions!$H$15)+INDEX('Pro Forma'!$D$9:$M$9,Assumptions!$H$15)*(((1+Assumptions!$H$16+$O8)/(1+Assumptions!$H$16))^Assumptions!$H$15-1))/IF((Assumptions!$C$22+$P8)=0,1,Assumptions!$C$22+$P8)*(1-Assumptions!$C$23)-INDEX('Debt Schedule'!$C$8:$L$8,Assumptions!$H$15)-INDEX('Debt Schedule'!$C$19:$L$19,Assumptions!$H$15),0))</f>
        <v>0</v>
      </c>
      <c r="G8" s="98" t="n">
        <f aca="false" t="array" ref="G8:G8">IF(G$2&gt;Assumptions!$H$15,0,(INDEX('Pro Forma'!$D$26:$M$26,G$2)+INDEX('Pro Forma'!$D$9:$M$9,G$2)*(((1+Assumptions!$H$16+$O8)/(1+Assumptions!$H$16))^G$2-1))-IF(Assumptions!$C$37=1,Assumptions!$C$68,IF(Assumptions!$C$37=2,Assumptions!$C$69,IF(G$2&lt;=Assumptions!$C$41,Assumptions!$C$68,Assumptions!$C$69)))-Assumptions!$C$58-IF(Assumptions!$C$28=1,IF(G$2=1,Assumptions!$C$26,0),Assumptions!$C$26/Assumptions!$H$15)-Assumptions!$C$33+IF(G$2=Assumptions!$H$15,(INDEX('Pro Forma'!$D$26:$M$26,Assumptions!$H$15)+INDEX('Pro Forma'!$D$9:$M$9,Assumptions!$H$15)*(((1+Assumptions!$H$16+$O8)/(1+Assumptions!$H$16))^Assumptions!$H$15-1))/IF((Assumptions!$C$22+$P8)=0,1,Assumptions!$C$22+$P8)*(1-Assumptions!$C$23)-INDEX('Debt Schedule'!$C$8:$L$8,Assumptions!$H$15)-INDEX('Debt Schedule'!$C$19:$L$19,Assumptions!$H$15),0))</f>
        <v>0</v>
      </c>
      <c r="H8" s="98" t="n">
        <f aca="false" t="array" ref="H8:H8">IF(H$2&gt;Assumptions!$H$15,0,(INDEX('Pro Forma'!$D$26:$M$26,H$2)+INDEX('Pro Forma'!$D$9:$M$9,H$2)*(((1+Assumptions!$H$16+$O8)/(1+Assumptions!$H$16))^H$2-1))-IF(Assumptions!$C$37=1,Assumptions!$C$68,IF(Assumptions!$C$37=2,Assumptions!$C$69,IF(H$2&lt;=Assumptions!$C$41,Assumptions!$C$68,Assumptions!$C$69)))-Assumptions!$C$58-IF(Assumptions!$C$28=1,IF(H$2=1,Assumptions!$C$26,0),Assumptions!$C$26/Assumptions!$H$15)-Assumptions!$C$33+IF(H$2=Assumptions!$H$15,(INDEX('Pro Forma'!$D$26:$M$26,Assumptions!$H$15)+INDEX('Pro Forma'!$D$9:$M$9,Assumptions!$H$15)*(((1+Assumptions!$H$16+$O8)/(1+Assumptions!$H$16))^Assumptions!$H$15-1))/IF((Assumptions!$C$22+$P8)=0,1,Assumptions!$C$22+$P8)*(1-Assumptions!$C$23)-INDEX('Debt Schedule'!$C$8:$L$8,Assumptions!$H$15)-INDEX('Debt Schedule'!$C$19:$L$19,Assumptions!$H$15),0))</f>
        <v>0</v>
      </c>
      <c r="I8" s="98" t="n">
        <f aca="false" t="array" ref="I8:I8">IF(I$2&gt;Assumptions!$H$15,0,(INDEX('Pro Forma'!$D$26:$M$26,I$2)+INDEX('Pro Forma'!$D$9:$M$9,I$2)*(((1+Assumptions!$H$16+$O8)/(1+Assumptions!$H$16))^I$2-1))-IF(Assumptions!$C$37=1,Assumptions!$C$68,IF(Assumptions!$C$37=2,Assumptions!$C$69,IF(I$2&lt;=Assumptions!$C$41,Assumptions!$C$68,Assumptions!$C$69)))-Assumptions!$C$58-IF(Assumptions!$C$28=1,IF(I$2=1,Assumptions!$C$26,0),Assumptions!$C$26/Assumptions!$H$15)-Assumptions!$C$33+IF(I$2=Assumptions!$H$15,(INDEX('Pro Forma'!$D$26:$M$26,Assumptions!$H$15)+INDEX('Pro Forma'!$D$9:$M$9,Assumptions!$H$15)*(((1+Assumptions!$H$16+$O8)/(1+Assumptions!$H$16))^Assumptions!$H$15-1))/IF((Assumptions!$C$22+$P8)=0,1,Assumptions!$C$22+$P8)*(1-Assumptions!$C$23)-INDEX('Debt Schedule'!$C$8:$L$8,Assumptions!$H$15)-INDEX('Debt Schedule'!$C$19:$L$19,Assumptions!$H$15),0))</f>
        <v>0</v>
      </c>
      <c r="J8" s="98" t="n">
        <f aca="false" t="array" ref="J8:J8">IF(J$2&gt;Assumptions!$H$15,0,(INDEX('Pro Forma'!$D$26:$M$26,J$2)+INDEX('Pro Forma'!$D$9:$M$9,J$2)*(((1+Assumptions!$H$16+$O8)/(1+Assumptions!$H$16))^J$2-1))-IF(Assumptions!$C$37=1,Assumptions!$C$68,IF(Assumptions!$C$37=2,Assumptions!$C$69,IF(J$2&lt;=Assumptions!$C$41,Assumptions!$C$68,Assumptions!$C$69)))-Assumptions!$C$58-IF(Assumptions!$C$28=1,IF(J$2=1,Assumptions!$C$26,0),Assumptions!$C$26/Assumptions!$H$15)-Assumptions!$C$33+IF(J$2=Assumptions!$H$15,(INDEX('Pro Forma'!$D$26:$M$26,Assumptions!$H$15)+INDEX('Pro Forma'!$D$9:$M$9,Assumptions!$H$15)*(((1+Assumptions!$H$16+$O8)/(1+Assumptions!$H$16))^Assumptions!$H$15-1))/IF((Assumptions!$C$22+$P8)=0,1,Assumptions!$C$22+$P8)*(1-Assumptions!$C$23)-INDEX('Debt Schedule'!$C$8:$L$8,Assumptions!$H$15)-INDEX('Debt Schedule'!$C$19:$L$19,Assumptions!$H$15),0))</f>
        <v>0</v>
      </c>
      <c r="K8" s="98" t="n">
        <f aca="false" t="array" ref="K8:K8">IF(K$2&gt;Assumptions!$H$15,0,(INDEX('Pro Forma'!$D$26:$M$26,K$2)+INDEX('Pro Forma'!$D$9:$M$9,K$2)*(((1+Assumptions!$H$16+$O8)/(1+Assumptions!$H$16))^K$2-1))-IF(Assumptions!$C$37=1,Assumptions!$C$68,IF(Assumptions!$C$37=2,Assumptions!$C$69,IF(K$2&lt;=Assumptions!$C$41,Assumptions!$C$68,Assumptions!$C$69)))-Assumptions!$C$58-IF(Assumptions!$C$28=1,IF(K$2=1,Assumptions!$C$26,0),Assumptions!$C$26/Assumptions!$H$15)-Assumptions!$C$33+IF(K$2=Assumptions!$H$15,(INDEX('Pro Forma'!$D$26:$M$26,Assumptions!$H$15)+INDEX('Pro Forma'!$D$9:$M$9,Assumptions!$H$15)*(((1+Assumptions!$H$16+$O8)/(1+Assumptions!$H$16))^Assumptions!$H$15-1))/IF((Assumptions!$C$22+$P8)=0,1,Assumptions!$C$22+$P8)*(1-Assumptions!$C$23)-INDEX('Debt Schedule'!$C$8:$L$8,Assumptions!$H$15)-INDEX('Debt Schedule'!$C$19:$L$19,Assumptions!$H$15),0))</f>
        <v>0</v>
      </c>
      <c r="L8" s="98" t="n">
        <f aca="false" t="array" ref="L8:L8">IF(L$2&gt;Assumptions!$H$15,0,(INDEX('Pro Forma'!$D$26:$M$26,L$2)+INDEX('Pro Forma'!$D$9:$M$9,L$2)*(((1+Assumptions!$H$16+$O8)/(1+Assumptions!$H$16))^L$2-1))-IF(Assumptions!$C$37=1,Assumptions!$C$68,IF(Assumptions!$C$37=2,Assumptions!$C$69,IF(L$2&lt;=Assumptions!$C$41,Assumptions!$C$68,Assumptions!$C$69)))-Assumptions!$C$58-IF(Assumptions!$C$28=1,IF(L$2=1,Assumptions!$C$26,0),Assumptions!$C$26/Assumptions!$H$15)-Assumptions!$C$33+IF(L$2=Assumptions!$H$15,(INDEX('Pro Forma'!$D$26:$M$26,Assumptions!$H$15)+INDEX('Pro Forma'!$D$9:$M$9,Assumptions!$H$15)*(((1+Assumptions!$H$16+$O8)/(1+Assumptions!$H$16))^Assumptions!$H$15-1))/IF((Assumptions!$C$22+$P8)=0,1,Assumptions!$C$22+$P8)*(1-Assumptions!$C$23)-INDEX('Debt Schedule'!$C$8:$L$8,Assumptions!$H$15)-INDEX('Debt Schedule'!$C$19:$L$19,Assumptions!$H$15),0))</f>
        <v>0</v>
      </c>
      <c r="M8" s="98" t="n">
        <f aca="false" t="array" ref="M8:M8">IF(M$2&gt;Assumptions!$H$15,0,(INDEX('Pro Forma'!$D$26:$M$26,M$2)+INDEX('Pro Forma'!$D$9:$M$9,M$2)*(((1+Assumptions!$H$16+$O8)/(1+Assumptions!$H$16))^M$2-1))-IF(Assumptions!$C$37=1,Assumptions!$C$68,IF(Assumptions!$C$37=2,Assumptions!$C$69,IF(M$2&lt;=Assumptions!$C$41,Assumptions!$C$68,Assumptions!$C$69)))-Assumptions!$C$58-IF(Assumptions!$C$28=1,IF(M$2=1,Assumptions!$C$26,0),Assumptions!$C$26/Assumptions!$H$15)-Assumptions!$C$33+IF(M$2=Assumptions!$H$15,(INDEX('Pro Forma'!$D$26:$M$26,Assumptions!$H$15)+INDEX('Pro Forma'!$D$9:$M$9,Assumptions!$H$15)*(((1+Assumptions!$H$16+$O8)/(1+Assumptions!$H$16))^Assumptions!$H$15-1))/IF((Assumptions!$C$22+$P8)=0,1,Assumptions!$C$22+$P8)*(1-Assumptions!$C$23)-INDEX('Debt Schedule'!$C$8:$L$8,Assumptions!$H$15)-INDEX('Debt Schedule'!$C$19:$L$19,Assumptions!$H$15),0))</f>
        <v>0</v>
      </c>
      <c r="N8" s="99" t="n">
        <f aca="false">IFERROR(IRR(C8:M8),0)</f>
        <v>0</v>
      </c>
      <c r="O8" s="100" t="n">
        <f aca="false">(MOD(ROW()-3,5)-2)*0.005</f>
        <v>-0.01</v>
      </c>
      <c r="P8" s="100" t="n">
        <f aca="false">(INT((ROW()-3)/5)-2)*0.0025</f>
        <v>-0.0025</v>
      </c>
    </row>
    <row r="9" customFormat="false" ht="15" hidden="false" customHeight="true" outlineLevel="0" collapsed="false">
      <c r="C9" s="98" t="n">
        <f aca="false">-Assumptions!$C$70</f>
        <v>-0</v>
      </c>
      <c r="D9" s="98" t="n">
        <f aca="false" t="array" ref="D9:D9">IF(D$2&gt;Assumptions!$H$15,0,(INDEX('Pro Forma'!$D$26:$M$26,D$2)+INDEX('Pro Forma'!$D$9:$M$9,D$2)*(((1+Assumptions!$H$16+$O9)/(1+Assumptions!$H$16))^D$2-1))-IF(Assumptions!$C$37=1,Assumptions!$C$68,IF(Assumptions!$C$37=2,Assumptions!$C$69,IF(D$2&lt;=Assumptions!$C$41,Assumptions!$C$68,Assumptions!$C$69)))-Assumptions!$C$58-IF(Assumptions!$C$28=1,IF(D$2=1,Assumptions!$C$26,0),Assumptions!$C$26/Assumptions!$H$15)-Assumptions!$C$33+IF(D$2=Assumptions!$H$15,(INDEX('Pro Forma'!$D$26:$M$26,Assumptions!$H$15)+INDEX('Pro Forma'!$D$9:$M$9,Assumptions!$H$15)*(((1+Assumptions!$H$16+$O9)/(1+Assumptions!$H$16))^Assumptions!$H$15-1))/IF((Assumptions!$C$22+$P9)=0,1,Assumptions!$C$22+$P9)*(1-Assumptions!$C$23)-INDEX('Debt Schedule'!$C$8:$L$8,Assumptions!$H$15)-INDEX('Debt Schedule'!$C$19:$L$19,Assumptions!$H$15),0))</f>
        <v>0</v>
      </c>
      <c r="E9" s="98" t="n">
        <f aca="false" t="array" ref="E9:E9">IF(E$2&gt;Assumptions!$H$15,0,(INDEX('Pro Forma'!$D$26:$M$26,E$2)+INDEX('Pro Forma'!$D$9:$M$9,E$2)*(((1+Assumptions!$H$16+$O9)/(1+Assumptions!$H$16))^E$2-1))-IF(Assumptions!$C$37=1,Assumptions!$C$68,IF(Assumptions!$C$37=2,Assumptions!$C$69,IF(E$2&lt;=Assumptions!$C$41,Assumptions!$C$68,Assumptions!$C$69)))-Assumptions!$C$58-IF(Assumptions!$C$28=1,IF(E$2=1,Assumptions!$C$26,0),Assumptions!$C$26/Assumptions!$H$15)-Assumptions!$C$33+IF(E$2=Assumptions!$H$15,(INDEX('Pro Forma'!$D$26:$M$26,Assumptions!$H$15)+INDEX('Pro Forma'!$D$9:$M$9,Assumptions!$H$15)*(((1+Assumptions!$H$16+$O9)/(1+Assumptions!$H$16))^Assumptions!$H$15-1))/IF((Assumptions!$C$22+$P9)=0,1,Assumptions!$C$22+$P9)*(1-Assumptions!$C$23)-INDEX('Debt Schedule'!$C$8:$L$8,Assumptions!$H$15)-INDEX('Debt Schedule'!$C$19:$L$19,Assumptions!$H$15),0))</f>
        <v>0</v>
      </c>
      <c r="F9" s="98" t="n">
        <f aca="false" t="array" ref="F9:F9">IF(F$2&gt;Assumptions!$H$15,0,(INDEX('Pro Forma'!$D$26:$M$26,F$2)+INDEX('Pro Forma'!$D$9:$M$9,F$2)*(((1+Assumptions!$H$16+$O9)/(1+Assumptions!$H$16))^F$2-1))-IF(Assumptions!$C$37=1,Assumptions!$C$68,IF(Assumptions!$C$37=2,Assumptions!$C$69,IF(F$2&lt;=Assumptions!$C$41,Assumptions!$C$68,Assumptions!$C$69)))-Assumptions!$C$58-IF(Assumptions!$C$28=1,IF(F$2=1,Assumptions!$C$26,0),Assumptions!$C$26/Assumptions!$H$15)-Assumptions!$C$33+IF(F$2=Assumptions!$H$15,(INDEX('Pro Forma'!$D$26:$M$26,Assumptions!$H$15)+INDEX('Pro Forma'!$D$9:$M$9,Assumptions!$H$15)*(((1+Assumptions!$H$16+$O9)/(1+Assumptions!$H$16))^Assumptions!$H$15-1))/IF((Assumptions!$C$22+$P9)=0,1,Assumptions!$C$22+$P9)*(1-Assumptions!$C$23)-INDEX('Debt Schedule'!$C$8:$L$8,Assumptions!$H$15)-INDEX('Debt Schedule'!$C$19:$L$19,Assumptions!$H$15),0))</f>
        <v>0</v>
      </c>
      <c r="G9" s="98" t="n">
        <f aca="false" t="array" ref="G9:G9">IF(G$2&gt;Assumptions!$H$15,0,(INDEX('Pro Forma'!$D$26:$M$26,G$2)+INDEX('Pro Forma'!$D$9:$M$9,G$2)*(((1+Assumptions!$H$16+$O9)/(1+Assumptions!$H$16))^G$2-1))-IF(Assumptions!$C$37=1,Assumptions!$C$68,IF(Assumptions!$C$37=2,Assumptions!$C$69,IF(G$2&lt;=Assumptions!$C$41,Assumptions!$C$68,Assumptions!$C$69)))-Assumptions!$C$58-IF(Assumptions!$C$28=1,IF(G$2=1,Assumptions!$C$26,0),Assumptions!$C$26/Assumptions!$H$15)-Assumptions!$C$33+IF(G$2=Assumptions!$H$15,(INDEX('Pro Forma'!$D$26:$M$26,Assumptions!$H$15)+INDEX('Pro Forma'!$D$9:$M$9,Assumptions!$H$15)*(((1+Assumptions!$H$16+$O9)/(1+Assumptions!$H$16))^Assumptions!$H$15-1))/IF((Assumptions!$C$22+$P9)=0,1,Assumptions!$C$22+$P9)*(1-Assumptions!$C$23)-INDEX('Debt Schedule'!$C$8:$L$8,Assumptions!$H$15)-INDEX('Debt Schedule'!$C$19:$L$19,Assumptions!$H$15),0))</f>
        <v>0</v>
      </c>
      <c r="H9" s="98" t="n">
        <f aca="false" t="array" ref="H9:H9">IF(H$2&gt;Assumptions!$H$15,0,(INDEX('Pro Forma'!$D$26:$M$26,H$2)+INDEX('Pro Forma'!$D$9:$M$9,H$2)*(((1+Assumptions!$H$16+$O9)/(1+Assumptions!$H$16))^H$2-1))-IF(Assumptions!$C$37=1,Assumptions!$C$68,IF(Assumptions!$C$37=2,Assumptions!$C$69,IF(H$2&lt;=Assumptions!$C$41,Assumptions!$C$68,Assumptions!$C$69)))-Assumptions!$C$58-IF(Assumptions!$C$28=1,IF(H$2=1,Assumptions!$C$26,0),Assumptions!$C$26/Assumptions!$H$15)-Assumptions!$C$33+IF(H$2=Assumptions!$H$15,(INDEX('Pro Forma'!$D$26:$M$26,Assumptions!$H$15)+INDEX('Pro Forma'!$D$9:$M$9,Assumptions!$H$15)*(((1+Assumptions!$H$16+$O9)/(1+Assumptions!$H$16))^Assumptions!$H$15-1))/IF((Assumptions!$C$22+$P9)=0,1,Assumptions!$C$22+$P9)*(1-Assumptions!$C$23)-INDEX('Debt Schedule'!$C$8:$L$8,Assumptions!$H$15)-INDEX('Debt Schedule'!$C$19:$L$19,Assumptions!$H$15),0))</f>
        <v>0</v>
      </c>
      <c r="I9" s="98" t="n">
        <f aca="false" t="array" ref="I9:I9">IF(I$2&gt;Assumptions!$H$15,0,(INDEX('Pro Forma'!$D$26:$M$26,I$2)+INDEX('Pro Forma'!$D$9:$M$9,I$2)*(((1+Assumptions!$H$16+$O9)/(1+Assumptions!$H$16))^I$2-1))-IF(Assumptions!$C$37=1,Assumptions!$C$68,IF(Assumptions!$C$37=2,Assumptions!$C$69,IF(I$2&lt;=Assumptions!$C$41,Assumptions!$C$68,Assumptions!$C$69)))-Assumptions!$C$58-IF(Assumptions!$C$28=1,IF(I$2=1,Assumptions!$C$26,0),Assumptions!$C$26/Assumptions!$H$15)-Assumptions!$C$33+IF(I$2=Assumptions!$H$15,(INDEX('Pro Forma'!$D$26:$M$26,Assumptions!$H$15)+INDEX('Pro Forma'!$D$9:$M$9,Assumptions!$H$15)*(((1+Assumptions!$H$16+$O9)/(1+Assumptions!$H$16))^Assumptions!$H$15-1))/IF((Assumptions!$C$22+$P9)=0,1,Assumptions!$C$22+$P9)*(1-Assumptions!$C$23)-INDEX('Debt Schedule'!$C$8:$L$8,Assumptions!$H$15)-INDEX('Debt Schedule'!$C$19:$L$19,Assumptions!$H$15),0))</f>
        <v>0</v>
      </c>
      <c r="J9" s="98" t="n">
        <f aca="false" t="array" ref="J9:J9">IF(J$2&gt;Assumptions!$H$15,0,(INDEX('Pro Forma'!$D$26:$M$26,J$2)+INDEX('Pro Forma'!$D$9:$M$9,J$2)*(((1+Assumptions!$H$16+$O9)/(1+Assumptions!$H$16))^J$2-1))-IF(Assumptions!$C$37=1,Assumptions!$C$68,IF(Assumptions!$C$37=2,Assumptions!$C$69,IF(J$2&lt;=Assumptions!$C$41,Assumptions!$C$68,Assumptions!$C$69)))-Assumptions!$C$58-IF(Assumptions!$C$28=1,IF(J$2=1,Assumptions!$C$26,0),Assumptions!$C$26/Assumptions!$H$15)-Assumptions!$C$33+IF(J$2=Assumptions!$H$15,(INDEX('Pro Forma'!$D$26:$M$26,Assumptions!$H$15)+INDEX('Pro Forma'!$D$9:$M$9,Assumptions!$H$15)*(((1+Assumptions!$H$16+$O9)/(1+Assumptions!$H$16))^Assumptions!$H$15-1))/IF((Assumptions!$C$22+$P9)=0,1,Assumptions!$C$22+$P9)*(1-Assumptions!$C$23)-INDEX('Debt Schedule'!$C$8:$L$8,Assumptions!$H$15)-INDEX('Debt Schedule'!$C$19:$L$19,Assumptions!$H$15),0))</f>
        <v>0</v>
      </c>
      <c r="K9" s="98" t="n">
        <f aca="false" t="array" ref="K9:K9">IF(K$2&gt;Assumptions!$H$15,0,(INDEX('Pro Forma'!$D$26:$M$26,K$2)+INDEX('Pro Forma'!$D$9:$M$9,K$2)*(((1+Assumptions!$H$16+$O9)/(1+Assumptions!$H$16))^K$2-1))-IF(Assumptions!$C$37=1,Assumptions!$C$68,IF(Assumptions!$C$37=2,Assumptions!$C$69,IF(K$2&lt;=Assumptions!$C$41,Assumptions!$C$68,Assumptions!$C$69)))-Assumptions!$C$58-IF(Assumptions!$C$28=1,IF(K$2=1,Assumptions!$C$26,0),Assumptions!$C$26/Assumptions!$H$15)-Assumptions!$C$33+IF(K$2=Assumptions!$H$15,(INDEX('Pro Forma'!$D$26:$M$26,Assumptions!$H$15)+INDEX('Pro Forma'!$D$9:$M$9,Assumptions!$H$15)*(((1+Assumptions!$H$16+$O9)/(1+Assumptions!$H$16))^Assumptions!$H$15-1))/IF((Assumptions!$C$22+$P9)=0,1,Assumptions!$C$22+$P9)*(1-Assumptions!$C$23)-INDEX('Debt Schedule'!$C$8:$L$8,Assumptions!$H$15)-INDEX('Debt Schedule'!$C$19:$L$19,Assumptions!$H$15),0))</f>
        <v>0</v>
      </c>
      <c r="L9" s="98" t="n">
        <f aca="false" t="array" ref="L9:L9">IF(L$2&gt;Assumptions!$H$15,0,(INDEX('Pro Forma'!$D$26:$M$26,L$2)+INDEX('Pro Forma'!$D$9:$M$9,L$2)*(((1+Assumptions!$H$16+$O9)/(1+Assumptions!$H$16))^L$2-1))-IF(Assumptions!$C$37=1,Assumptions!$C$68,IF(Assumptions!$C$37=2,Assumptions!$C$69,IF(L$2&lt;=Assumptions!$C$41,Assumptions!$C$68,Assumptions!$C$69)))-Assumptions!$C$58-IF(Assumptions!$C$28=1,IF(L$2=1,Assumptions!$C$26,0),Assumptions!$C$26/Assumptions!$H$15)-Assumptions!$C$33+IF(L$2=Assumptions!$H$15,(INDEX('Pro Forma'!$D$26:$M$26,Assumptions!$H$15)+INDEX('Pro Forma'!$D$9:$M$9,Assumptions!$H$15)*(((1+Assumptions!$H$16+$O9)/(1+Assumptions!$H$16))^Assumptions!$H$15-1))/IF((Assumptions!$C$22+$P9)=0,1,Assumptions!$C$22+$P9)*(1-Assumptions!$C$23)-INDEX('Debt Schedule'!$C$8:$L$8,Assumptions!$H$15)-INDEX('Debt Schedule'!$C$19:$L$19,Assumptions!$H$15),0))</f>
        <v>0</v>
      </c>
      <c r="M9" s="98" t="n">
        <f aca="false" t="array" ref="M9:M9">IF(M$2&gt;Assumptions!$H$15,0,(INDEX('Pro Forma'!$D$26:$M$26,M$2)+INDEX('Pro Forma'!$D$9:$M$9,M$2)*(((1+Assumptions!$H$16+$O9)/(1+Assumptions!$H$16))^M$2-1))-IF(Assumptions!$C$37=1,Assumptions!$C$68,IF(Assumptions!$C$37=2,Assumptions!$C$69,IF(M$2&lt;=Assumptions!$C$41,Assumptions!$C$68,Assumptions!$C$69)))-Assumptions!$C$58-IF(Assumptions!$C$28=1,IF(M$2=1,Assumptions!$C$26,0),Assumptions!$C$26/Assumptions!$H$15)-Assumptions!$C$33+IF(M$2=Assumptions!$H$15,(INDEX('Pro Forma'!$D$26:$M$26,Assumptions!$H$15)+INDEX('Pro Forma'!$D$9:$M$9,Assumptions!$H$15)*(((1+Assumptions!$H$16+$O9)/(1+Assumptions!$H$16))^Assumptions!$H$15-1))/IF((Assumptions!$C$22+$P9)=0,1,Assumptions!$C$22+$P9)*(1-Assumptions!$C$23)-INDEX('Debt Schedule'!$C$8:$L$8,Assumptions!$H$15)-INDEX('Debt Schedule'!$C$19:$L$19,Assumptions!$H$15),0))</f>
        <v>0</v>
      </c>
      <c r="N9" s="99" t="n">
        <f aca="false">IFERROR(IRR(C9:M9),0)</f>
        <v>0</v>
      </c>
      <c r="O9" s="100" t="n">
        <f aca="false">(MOD(ROW()-3,5)-2)*0.005</f>
        <v>-0.005</v>
      </c>
      <c r="P9" s="100" t="n">
        <f aca="false">(INT((ROW()-3)/5)-2)*0.0025</f>
        <v>-0.0025</v>
      </c>
    </row>
    <row r="10" customFormat="false" ht="15" hidden="false" customHeight="true" outlineLevel="0" collapsed="false">
      <c r="C10" s="98" t="n">
        <f aca="false">-Assumptions!$C$70</f>
        <v>-0</v>
      </c>
      <c r="D10" s="98" t="n">
        <f aca="false" t="array" ref="D10:D10">IF(D$2&gt;Assumptions!$H$15,0,(INDEX('Pro Forma'!$D$26:$M$26,D$2)+INDEX('Pro Forma'!$D$9:$M$9,D$2)*(((1+Assumptions!$H$16+$O10)/(1+Assumptions!$H$16))^D$2-1))-IF(Assumptions!$C$37=1,Assumptions!$C$68,IF(Assumptions!$C$37=2,Assumptions!$C$69,IF(D$2&lt;=Assumptions!$C$41,Assumptions!$C$68,Assumptions!$C$69)))-Assumptions!$C$58-IF(Assumptions!$C$28=1,IF(D$2=1,Assumptions!$C$26,0),Assumptions!$C$26/Assumptions!$H$15)-Assumptions!$C$33+IF(D$2=Assumptions!$H$15,(INDEX('Pro Forma'!$D$26:$M$26,Assumptions!$H$15)+INDEX('Pro Forma'!$D$9:$M$9,Assumptions!$H$15)*(((1+Assumptions!$H$16+$O10)/(1+Assumptions!$H$16))^Assumptions!$H$15-1))/IF((Assumptions!$C$22+$P10)=0,1,Assumptions!$C$22+$P10)*(1-Assumptions!$C$23)-INDEX('Debt Schedule'!$C$8:$L$8,Assumptions!$H$15)-INDEX('Debt Schedule'!$C$19:$L$19,Assumptions!$H$15),0))</f>
        <v>0</v>
      </c>
      <c r="E10" s="98" t="n">
        <f aca="false" t="array" ref="E10:E10">IF(E$2&gt;Assumptions!$H$15,0,(INDEX('Pro Forma'!$D$26:$M$26,E$2)+INDEX('Pro Forma'!$D$9:$M$9,E$2)*(((1+Assumptions!$H$16+$O10)/(1+Assumptions!$H$16))^E$2-1))-IF(Assumptions!$C$37=1,Assumptions!$C$68,IF(Assumptions!$C$37=2,Assumptions!$C$69,IF(E$2&lt;=Assumptions!$C$41,Assumptions!$C$68,Assumptions!$C$69)))-Assumptions!$C$58-IF(Assumptions!$C$28=1,IF(E$2=1,Assumptions!$C$26,0),Assumptions!$C$26/Assumptions!$H$15)-Assumptions!$C$33+IF(E$2=Assumptions!$H$15,(INDEX('Pro Forma'!$D$26:$M$26,Assumptions!$H$15)+INDEX('Pro Forma'!$D$9:$M$9,Assumptions!$H$15)*(((1+Assumptions!$H$16+$O10)/(1+Assumptions!$H$16))^Assumptions!$H$15-1))/IF((Assumptions!$C$22+$P10)=0,1,Assumptions!$C$22+$P10)*(1-Assumptions!$C$23)-INDEX('Debt Schedule'!$C$8:$L$8,Assumptions!$H$15)-INDEX('Debt Schedule'!$C$19:$L$19,Assumptions!$H$15),0))</f>
        <v>0</v>
      </c>
      <c r="F10" s="98" t="n">
        <f aca="false" t="array" ref="F10:F10">IF(F$2&gt;Assumptions!$H$15,0,(INDEX('Pro Forma'!$D$26:$M$26,F$2)+INDEX('Pro Forma'!$D$9:$M$9,F$2)*(((1+Assumptions!$H$16+$O10)/(1+Assumptions!$H$16))^F$2-1))-IF(Assumptions!$C$37=1,Assumptions!$C$68,IF(Assumptions!$C$37=2,Assumptions!$C$69,IF(F$2&lt;=Assumptions!$C$41,Assumptions!$C$68,Assumptions!$C$69)))-Assumptions!$C$58-IF(Assumptions!$C$28=1,IF(F$2=1,Assumptions!$C$26,0),Assumptions!$C$26/Assumptions!$H$15)-Assumptions!$C$33+IF(F$2=Assumptions!$H$15,(INDEX('Pro Forma'!$D$26:$M$26,Assumptions!$H$15)+INDEX('Pro Forma'!$D$9:$M$9,Assumptions!$H$15)*(((1+Assumptions!$H$16+$O10)/(1+Assumptions!$H$16))^Assumptions!$H$15-1))/IF((Assumptions!$C$22+$P10)=0,1,Assumptions!$C$22+$P10)*(1-Assumptions!$C$23)-INDEX('Debt Schedule'!$C$8:$L$8,Assumptions!$H$15)-INDEX('Debt Schedule'!$C$19:$L$19,Assumptions!$H$15),0))</f>
        <v>0</v>
      </c>
      <c r="G10" s="98" t="n">
        <f aca="false" t="array" ref="G10:G10">IF(G$2&gt;Assumptions!$H$15,0,(INDEX('Pro Forma'!$D$26:$M$26,G$2)+INDEX('Pro Forma'!$D$9:$M$9,G$2)*(((1+Assumptions!$H$16+$O10)/(1+Assumptions!$H$16))^G$2-1))-IF(Assumptions!$C$37=1,Assumptions!$C$68,IF(Assumptions!$C$37=2,Assumptions!$C$69,IF(G$2&lt;=Assumptions!$C$41,Assumptions!$C$68,Assumptions!$C$69)))-Assumptions!$C$58-IF(Assumptions!$C$28=1,IF(G$2=1,Assumptions!$C$26,0),Assumptions!$C$26/Assumptions!$H$15)-Assumptions!$C$33+IF(G$2=Assumptions!$H$15,(INDEX('Pro Forma'!$D$26:$M$26,Assumptions!$H$15)+INDEX('Pro Forma'!$D$9:$M$9,Assumptions!$H$15)*(((1+Assumptions!$H$16+$O10)/(1+Assumptions!$H$16))^Assumptions!$H$15-1))/IF((Assumptions!$C$22+$P10)=0,1,Assumptions!$C$22+$P10)*(1-Assumptions!$C$23)-INDEX('Debt Schedule'!$C$8:$L$8,Assumptions!$H$15)-INDEX('Debt Schedule'!$C$19:$L$19,Assumptions!$H$15),0))</f>
        <v>0</v>
      </c>
      <c r="H10" s="98" t="n">
        <f aca="false" t="array" ref="H10:H10">IF(H$2&gt;Assumptions!$H$15,0,(INDEX('Pro Forma'!$D$26:$M$26,H$2)+INDEX('Pro Forma'!$D$9:$M$9,H$2)*(((1+Assumptions!$H$16+$O10)/(1+Assumptions!$H$16))^H$2-1))-IF(Assumptions!$C$37=1,Assumptions!$C$68,IF(Assumptions!$C$37=2,Assumptions!$C$69,IF(H$2&lt;=Assumptions!$C$41,Assumptions!$C$68,Assumptions!$C$69)))-Assumptions!$C$58-IF(Assumptions!$C$28=1,IF(H$2=1,Assumptions!$C$26,0),Assumptions!$C$26/Assumptions!$H$15)-Assumptions!$C$33+IF(H$2=Assumptions!$H$15,(INDEX('Pro Forma'!$D$26:$M$26,Assumptions!$H$15)+INDEX('Pro Forma'!$D$9:$M$9,Assumptions!$H$15)*(((1+Assumptions!$H$16+$O10)/(1+Assumptions!$H$16))^Assumptions!$H$15-1))/IF((Assumptions!$C$22+$P10)=0,1,Assumptions!$C$22+$P10)*(1-Assumptions!$C$23)-INDEX('Debt Schedule'!$C$8:$L$8,Assumptions!$H$15)-INDEX('Debt Schedule'!$C$19:$L$19,Assumptions!$H$15),0))</f>
        <v>0</v>
      </c>
      <c r="I10" s="98" t="n">
        <f aca="false" t="array" ref="I10:I10">IF(I$2&gt;Assumptions!$H$15,0,(INDEX('Pro Forma'!$D$26:$M$26,I$2)+INDEX('Pro Forma'!$D$9:$M$9,I$2)*(((1+Assumptions!$H$16+$O10)/(1+Assumptions!$H$16))^I$2-1))-IF(Assumptions!$C$37=1,Assumptions!$C$68,IF(Assumptions!$C$37=2,Assumptions!$C$69,IF(I$2&lt;=Assumptions!$C$41,Assumptions!$C$68,Assumptions!$C$69)))-Assumptions!$C$58-IF(Assumptions!$C$28=1,IF(I$2=1,Assumptions!$C$26,0),Assumptions!$C$26/Assumptions!$H$15)-Assumptions!$C$33+IF(I$2=Assumptions!$H$15,(INDEX('Pro Forma'!$D$26:$M$26,Assumptions!$H$15)+INDEX('Pro Forma'!$D$9:$M$9,Assumptions!$H$15)*(((1+Assumptions!$H$16+$O10)/(1+Assumptions!$H$16))^Assumptions!$H$15-1))/IF((Assumptions!$C$22+$P10)=0,1,Assumptions!$C$22+$P10)*(1-Assumptions!$C$23)-INDEX('Debt Schedule'!$C$8:$L$8,Assumptions!$H$15)-INDEX('Debt Schedule'!$C$19:$L$19,Assumptions!$H$15),0))</f>
        <v>0</v>
      </c>
      <c r="J10" s="98" t="n">
        <f aca="false" t="array" ref="J10:J10">IF(J$2&gt;Assumptions!$H$15,0,(INDEX('Pro Forma'!$D$26:$M$26,J$2)+INDEX('Pro Forma'!$D$9:$M$9,J$2)*(((1+Assumptions!$H$16+$O10)/(1+Assumptions!$H$16))^J$2-1))-IF(Assumptions!$C$37=1,Assumptions!$C$68,IF(Assumptions!$C$37=2,Assumptions!$C$69,IF(J$2&lt;=Assumptions!$C$41,Assumptions!$C$68,Assumptions!$C$69)))-Assumptions!$C$58-IF(Assumptions!$C$28=1,IF(J$2=1,Assumptions!$C$26,0),Assumptions!$C$26/Assumptions!$H$15)-Assumptions!$C$33+IF(J$2=Assumptions!$H$15,(INDEX('Pro Forma'!$D$26:$M$26,Assumptions!$H$15)+INDEX('Pro Forma'!$D$9:$M$9,Assumptions!$H$15)*(((1+Assumptions!$H$16+$O10)/(1+Assumptions!$H$16))^Assumptions!$H$15-1))/IF((Assumptions!$C$22+$P10)=0,1,Assumptions!$C$22+$P10)*(1-Assumptions!$C$23)-INDEX('Debt Schedule'!$C$8:$L$8,Assumptions!$H$15)-INDEX('Debt Schedule'!$C$19:$L$19,Assumptions!$H$15),0))</f>
        <v>0</v>
      </c>
      <c r="K10" s="98" t="n">
        <f aca="false" t="array" ref="K10:K10">IF(K$2&gt;Assumptions!$H$15,0,(INDEX('Pro Forma'!$D$26:$M$26,K$2)+INDEX('Pro Forma'!$D$9:$M$9,K$2)*(((1+Assumptions!$H$16+$O10)/(1+Assumptions!$H$16))^K$2-1))-IF(Assumptions!$C$37=1,Assumptions!$C$68,IF(Assumptions!$C$37=2,Assumptions!$C$69,IF(K$2&lt;=Assumptions!$C$41,Assumptions!$C$68,Assumptions!$C$69)))-Assumptions!$C$58-IF(Assumptions!$C$28=1,IF(K$2=1,Assumptions!$C$26,0),Assumptions!$C$26/Assumptions!$H$15)-Assumptions!$C$33+IF(K$2=Assumptions!$H$15,(INDEX('Pro Forma'!$D$26:$M$26,Assumptions!$H$15)+INDEX('Pro Forma'!$D$9:$M$9,Assumptions!$H$15)*(((1+Assumptions!$H$16+$O10)/(1+Assumptions!$H$16))^Assumptions!$H$15-1))/IF((Assumptions!$C$22+$P10)=0,1,Assumptions!$C$22+$P10)*(1-Assumptions!$C$23)-INDEX('Debt Schedule'!$C$8:$L$8,Assumptions!$H$15)-INDEX('Debt Schedule'!$C$19:$L$19,Assumptions!$H$15),0))</f>
        <v>0</v>
      </c>
      <c r="L10" s="98" t="n">
        <f aca="false" t="array" ref="L10:L10">IF(L$2&gt;Assumptions!$H$15,0,(INDEX('Pro Forma'!$D$26:$M$26,L$2)+INDEX('Pro Forma'!$D$9:$M$9,L$2)*(((1+Assumptions!$H$16+$O10)/(1+Assumptions!$H$16))^L$2-1))-IF(Assumptions!$C$37=1,Assumptions!$C$68,IF(Assumptions!$C$37=2,Assumptions!$C$69,IF(L$2&lt;=Assumptions!$C$41,Assumptions!$C$68,Assumptions!$C$69)))-Assumptions!$C$58-IF(Assumptions!$C$28=1,IF(L$2=1,Assumptions!$C$26,0),Assumptions!$C$26/Assumptions!$H$15)-Assumptions!$C$33+IF(L$2=Assumptions!$H$15,(INDEX('Pro Forma'!$D$26:$M$26,Assumptions!$H$15)+INDEX('Pro Forma'!$D$9:$M$9,Assumptions!$H$15)*(((1+Assumptions!$H$16+$O10)/(1+Assumptions!$H$16))^Assumptions!$H$15-1))/IF((Assumptions!$C$22+$P10)=0,1,Assumptions!$C$22+$P10)*(1-Assumptions!$C$23)-INDEX('Debt Schedule'!$C$8:$L$8,Assumptions!$H$15)-INDEX('Debt Schedule'!$C$19:$L$19,Assumptions!$H$15),0))</f>
        <v>0</v>
      </c>
      <c r="M10" s="98" t="n">
        <f aca="false" t="array" ref="M10:M10">IF(M$2&gt;Assumptions!$H$15,0,(INDEX('Pro Forma'!$D$26:$M$26,M$2)+INDEX('Pro Forma'!$D$9:$M$9,M$2)*(((1+Assumptions!$H$16+$O10)/(1+Assumptions!$H$16))^M$2-1))-IF(Assumptions!$C$37=1,Assumptions!$C$68,IF(Assumptions!$C$37=2,Assumptions!$C$69,IF(M$2&lt;=Assumptions!$C$41,Assumptions!$C$68,Assumptions!$C$69)))-Assumptions!$C$58-IF(Assumptions!$C$28=1,IF(M$2=1,Assumptions!$C$26,0),Assumptions!$C$26/Assumptions!$H$15)-Assumptions!$C$33+IF(M$2=Assumptions!$H$15,(INDEX('Pro Forma'!$D$26:$M$26,Assumptions!$H$15)+INDEX('Pro Forma'!$D$9:$M$9,Assumptions!$H$15)*(((1+Assumptions!$H$16+$O10)/(1+Assumptions!$H$16))^Assumptions!$H$15-1))/IF((Assumptions!$C$22+$P10)=0,1,Assumptions!$C$22+$P10)*(1-Assumptions!$C$23)-INDEX('Debt Schedule'!$C$8:$L$8,Assumptions!$H$15)-INDEX('Debt Schedule'!$C$19:$L$19,Assumptions!$H$15),0))</f>
        <v>0</v>
      </c>
      <c r="N10" s="99" t="n">
        <f aca="false">IFERROR(IRR(C10:M10),0)</f>
        <v>0</v>
      </c>
      <c r="O10" s="100" t="n">
        <f aca="false">(MOD(ROW()-3,5)-2)*0.005</f>
        <v>0</v>
      </c>
      <c r="P10" s="100" t="n">
        <f aca="false">(INT((ROW()-3)/5)-2)*0.0025</f>
        <v>-0.0025</v>
      </c>
    </row>
    <row r="11" customFormat="false" ht="15" hidden="false" customHeight="true" outlineLevel="0" collapsed="false">
      <c r="C11" s="98" t="n">
        <f aca="false">-Assumptions!$C$70</f>
        <v>-0</v>
      </c>
      <c r="D11" s="98" t="n">
        <f aca="false" t="array" ref="D11:D11">IF(D$2&gt;Assumptions!$H$15,0,(INDEX('Pro Forma'!$D$26:$M$26,D$2)+INDEX('Pro Forma'!$D$9:$M$9,D$2)*(((1+Assumptions!$H$16+$O11)/(1+Assumptions!$H$16))^D$2-1))-IF(Assumptions!$C$37=1,Assumptions!$C$68,IF(Assumptions!$C$37=2,Assumptions!$C$69,IF(D$2&lt;=Assumptions!$C$41,Assumptions!$C$68,Assumptions!$C$69)))-Assumptions!$C$58-IF(Assumptions!$C$28=1,IF(D$2=1,Assumptions!$C$26,0),Assumptions!$C$26/Assumptions!$H$15)-Assumptions!$C$33+IF(D$2=Assumptions!$H$15,(INDEX('Pro Forma'!$D$26:$M$26,Assumptions!$H$15)+INDEX('Pro Forma'!$D$9:$M$9,Assumptions!$H$15)*(((1+Assumptions!$H$16+$O11)/(1+Assumptions!$H$16))^Assumptions!$H$15-1))/IF((Assumptions!$C$22+$P11)=0,1,Assumptions!$C$22+$P11)*(1-Assumptions!$C$23)-INDEX('Debt Schedule'!$C$8:$L$8,Assumptions!$H$15)-INDEX('Debt Schedule'!$C$19:$L$19,Assumptions!$H$15),0))</f>
        <v>0</v>
      </c>
      <c r="E11" s="98" t="n">
        <f aca="false" t="array" ref="E11:E11">IF(E$2&gt;Assumptions!$H$15,0,(INDEX('Pro Forma'!$D$26:$M$26,E$2)+INDEX('Pro Forma'!$D$9:$M$9,E$2)*(((1+Assumptions!$H$16+$O11)/(1+Assumptions!$H$16))^E$2-1))-IF(Assumptions!$C$37=1,Assumptions!$C$68,IF(Assumptions!$C$37=2,Assumptions!$C$69,IF(E$2&lt;=Assumptions!$C$41,Assumptions!$C$68,Assumptions!$C$69)))-Assumptions!$C$58-IF(Assumptions!$C$28=1,IF(E$2=1,Assumptions!$C$26,0),Assumptions!$C$26/Assumptions!$H$15)-Assumptions!$C$33+IF(E$2=Assumptions!$H$15,(INDEX('Pro Forma'!$D$26:$M$26,Assumptions!$H$15)+INDEX('Pro Forma'!$D$9:$M$9,Assumptions!$H$15)*(((1+Assumptions!$H$16+$O11)/(1+Assumptions!$H$16))^Assumptions!$H$15-1))/IF((Assumptions!$C$22+$P11)=0,1,Assumptions!$C$22+$P11)*(1-Assumptions!$C$23)-INDEX('Debt Schedule'!$C$8:$L$8,Assumptions!$H$15)-INDEX('Debt Schedule'!$C$19:$L$19,Assumptions!$H$15),0))</f>
        <v>0</v>
      </c>
      <c r="F11" s="98" t="n">
        <f aca="false" t="array" ref="F11:F11">IF(F$2&gt;Assumptions!$H$15,0,(INDEX('Pro Forma'!$D$26:$M$26,F$2)+INDEX('Pro Forma'!$D$9:$M$9,F$2)*(((1+Assumptions!$H$16+$O11)/(1+Assumptions!$H$16))^F$2-1))-IF(Assumptions!$C$37=1,Assumptions!$C$68,IF(Assumptions!$C$37=2,Assumptions!$C$69,IF(F$2&lt;=Assumptions!$C$41,Assumptions!$C$68,Assumptions!$C$69)))-Assumptions!$C$58-IF(Assumptions!$C$28=1,IF(F$2=1,Assumptions!$C$26,0),Assumptions!$C$26/Assumptions!$H$15)-Assumptions!$C$33+IF(F$2=Assumptions!$H$15,(INDEX('Pro Forma'!$D$26:$M$26,Assumptions!$H$15)+INDEX('Pro Forma'!$D$9:$M$9,Assumptions!$H$15)*(((1+Assumptions!$H$16+$O11)/(1+Assumptions!$H$16))^Assumptions!$H$15-1))/IF((Assumptions!$C$22+$P11)=0,1,Assumptions!$C$22+$P11)*(1-Assumptions!$C$23)-INDEX('Debt Schedule'!$C$8:$L$8,Assumptions!$H$15)-INDEX('Debt Schedule'!$C$19:$L$19,Assumptions!$H$15),0))</f>
        <v>0</v>
      </c>
      <c r="G11" s="98" t="n">
        <f aca="false" t="array" ref="G11:G11">IF(G$2&gt;Assumptions!$H$15,0,(INDEX('Pro Forma'!$D$26:$M$26,G$2)+INDEX('Pro Forma'!$D$9:$M$9,G$2)*(((1+Assumptions!$H$16+$O11)/(1+Assumptions!$H$16))^G$2-1))-IF(Assumptions!$C$37=1,Assumptions!$C$68,IF(Assumptions!$C$37=2,Assumptions!$C$69,IF(G$2&lt;=Assumptions!$C$41,Assumptions!$C$68,Assumptions!$C$69)))-Assumptions!$C$58-IF(Assumptions!$C$28=1,IF(G$2=1,Assumptions!$C$26,0),Assumptions!$C$26/Assumptions!$H$15)-Assumptions!$C$33+IF(G$2=Assumptions!$H$15,(INDEX('Pro Forma'!$D$26:$M$26,Assumptions!$H$15)+INDEX('Pro Forma'!$D$9:$M$9,Assumptions!$H$15)*(((1+Assumptions!$H$16+$O11)/(1+Assumptions!$H$16))^Assumptions!$H$15-1))/IF((Assumptions!$C$22+$P11)=0,1,Assumptions!$C$22+$P11)*(1-Assumptions!$C$23)-INDEX('Debt Schedule'!$C$8:$L$8,Assumptions!$H$15)-INDEX('Debt Schedule'!$C$19:$L$19,Assumptions!$H$15),0))</f>
        <v>0</v>
      </c>
      <c r="H11" s="98" t="n">
        <f aca="false" t="array" ref="H11:H11">IF(H$2&gt;Assumptions!$H$15,0,(INDEX('Pro Forma'!$D$26:$M$26,H$2)+INDEX('Pro Forma'!$D$9:$M$9,H$2)*(((1+Assumptions!$H$16+$O11)/(1+Assumptions!$H$16))^H$2-1))-IF(Assumptions!$C$37=1,Assumptions!$C$68,IF(Assumptions!$C$37=2,Assumptions!$C$69,IF(H$2&lt;=Assumptions!$C$41,Assumptions!$C$68,Assumptions!$C$69)))-Assumptions!$C$58-IF(Assumptions!$C$28=1,IF(H$2=1,Assumptions!$C$26,0),Assumptions!$C$26/Assumptions!$H$15)-Assumptions!$C$33+IF(H$2=Assumptions!$H$15,(INDEX('Pro Forma'!$D$26:$M$26,Assumptions!$H$15)+INDEX('Pro Forma'!$D$9:$M$9,Assumptions!$H$15)*(((1+Assumptions!$H$16+$O11)/(1+Assumptions!$H$16))^Assumptions!$H$15-1))/IF((Assumptions!$C$22+$P11)=0,1,Assumptions!$C$22+$P11)*(1-Assumptions!$C$23)-INDEX('Debt Schedule'!$C$8:$L$8,Assumptions!$H$15)-INDEX('Debt Schedule'!$C$19:$L$19,Assumptions!$H$15),0))</f>
        <v>0</v>
      </c>
      <c r="I11" s="98" t="n">
        <f aca="false" t="array" ref="I11:I11">IF(I$2&gt;Assumptions!$H$15,0,(INDEX('Pro Forma'!$D$26:$M$26,I$2)+INDEX('Pro Forma'!$D$9:$M$9,I$2)*(((1+Assumptions!$H$16+$O11)/(1+Assumptions!$H$16))^I$2-1))-IF(Assumptions!$C$37=1,Assumptions!$C$68,IF(Assumptions!$C$37=2,Assumptions!$C$69,IF(I$2&lt;=Assumptions!$C$41,Assumptions!$C$68,Assumptions!$C$69)))-Assumptions!$C$58-IF(Assumptions!$C$28=1,IF(I$2=1,Assumptions!$C$26,0),Assumptions!$C$26/Assumptions!$H$15)-Assumptions!$C$33+IF(I$2=Assumptions!$H$15,(INDEX('Pro Forma'!$D$26:$M$26,Assumptions!$H$15)+INDEX('Pro Forma'!$D$9:$M$9,Assumptions!$H$15)*(((1+Assumptions!$H$16+$O11)/(1+Assumptions!$H$16))^Assumptions!$H$15-1))/IF((Assumptions!$C$22+$P11)=0,1,Assumptions!$C$22+$P11)*(1-Assumptions!$C$23)-INDEX('Debt Schedule'!$C$8:$L$8,Assumptions!$H$15)-INDEX('Debt Schedule'!$C$19:$L$19,Assumptions!$H$15),0))</f>
        <v>0</v>
      </c>
      <c r="J11" s="98" t="n">
        <f aca="false" t="array" ref="J11:J11">IF(J$2&gt;Assumptions!$H$15,0,(INDEX('Pro Forma'!$D$26:$M$26,J$2)+INDEX('Pro Forma'!$D$9:$M$9,J$2)*(((1+Assumptions!$H$16+$O11)/(1+Assumptions!$H$16))^J$2-1))-IF(Assumptions!$C$37=1,Assumptions!$C$68,IF(Assumptions!$C$37=2,Assumptions!$C$69,IF(J$2&lt;=Assumptions!$C$41,Assumptions!$C$68,Assumptions!$C$69)))-Assumptions!$C$58-IF(Assumptions!$C$28=1,IF(J$2=1,Assumptions!$C$26,0),Assumptions!$C$26/Assumptions!$H$15)-Assumptions!$C$33+IF(J$2=Assumptions!$H$15,(INDEX('Pro Forma'!$D$26:$M$26,Assumptions!$H$15)+INDEX('Pro Forma'!$D$9:$M$9,Assumptions!$H$15)*(((1+Assumptions!$H$16+$O11)/(1+Assumptions!$H$16))^Assumptions!$H$15-1))/IF((Assumptions!$C$22+$P11)=0,1,Assumptions!$C$22+$P11)*(1-Assumptions!$C$23)-INDEX('Debt Schedule'!$C$8:$L$8,Assumptions!$H$15)-INDEX('Debt Schedule'!$C$19:$L$19,Assumptions!$H$15),0))</f>
        <v>0</v>
      </c>
      <c r="K11" s="98" t="n">
        <f aca="false" t="array" ref="K11:K11">IF(K$2&gt;Assumptions!$H$15,0,(INDEX('Pro Forma'!$D$26:$M$26,K$2)+INDEX('Pro Forma'!$D$9:$M$9,K$2)*(((1+Assumptions!$H$16+$O11)/(1+Assumptions!$H$16))^K$2-1))-IF(Assumptions!$C$37=1,Assumptions!$C$68,IF(Assumptions!$C$37=2,Assumptions!$C$69,IF(K$2&lt;=Assumptions!$C$41,Assumptions!$C$68,Assumptions!$C$69)))-Assumptions!$C$58-IF(Assumptions!$C$28=1,IF(K$2=1,Assumptions!$C$26,0),Assumptions!$C$26/Assumptions!$H$15)-Assumptions!$C$33+IF(K$2=Assumptions!$H$15,(INDEX('Pro Forma'!$D$26:$M$26,Assumptions!$H$15)+INDEX('Pro Forma'!$D$9:$M$9,Assumptions!$H$15)*(((1+Assumptions!$H$16+$O11)/(1+Assumptions!$H$16))^Assumptions!$H$15-1))/IF((Assumptions!$C$22+$P11)=0,1,Assumptions!$C$22+$P11)*(1-Assumptions!$C$23)-INDEX('Debt Schedule'!$C$8:$L$8,Assumptions!$H$15)-INDEX('Debt Schedule'!$C$19:$L$19,Assumptions!$H$15),0))</f>
        <v>0</v>
      </c>
      <c r="L11" s="98" t="n">
        <f aca="false" t="array" ref="L11:L11">IF(L$2&gt;Assumptions!$H$15,0,(INDEX('Pro Forma'!$D$26:$M$26,L$2)+INDEX('Pro Forma'!$D$9:$M$9,L$2)*(((1+Assumptions!$H$16+$O11)/(1+Assumptions!$H$16))^L$2-1))-IF(Assumptions!$C$37=1,Assumptions!$C$68,IF(Assumptions!$C$37=2,Assumptions!$C$69,IF(L$2&lt;=Assumptions!$C$41,Assumptions!$C$68,Assumptions!$C$69)))-Assumptions!$C$58-IF(Assumptions!$C$28=1,IF(L$2=1,Assumptions!$C$26,0),Assumptions!$C$26/Assumptions!$H$15)-Assumptions!$C$33+IF(L$2=Assumptions!$H$15,(INDEX('Pro Forma'!$D$26:$M$26,Assumptions!$H$15)+INDEX('Pro Forma'!$D$9:$M$9,Assumptions!$H$15)*(((1+Assumptions!$H$16+$O11)/(1+Assumptions!$H$16))^Assumptions!$H$15-1))/IF((Assumptions!$C$22+$P11)=0,1,Assumptions!$C$22+$P11)*(1-Assumptions!$C$23)-INDEX('Debt Schedule'!$C$8:$L$8,Assumptions!$H$15)-INDEX('Debt Schedule'!$C$19:$L$19,Assumptions!$H$15),0))</f>
        <v>0</v>
      </c>
      <c r="M11" s="98" t="n">
        <f aca="false" t="array" ref="M11:M11">IF(M$2&gt;Assumptions!$H$15,0,(INDEX('Pro Forma'!$D$26:$M$26,M$2)+INDEX('Pro Forma'!$D$9:$M$9,M$2)*(((1+Assumptions!$H$16+$O11)/(1+Assumptions!$H$16))^M$2-1))-IF(Assumptions!$C$37=1,Assumptions!$C$68,IF(Assumptions!$C$37=2,Assumptions!$C$69,IF(M$2&lt;=Assumptions!$C$41,Assumptions!$C$68,Assumptions!$C$69)))-Assumptions!$C$58-IF(Assumptions!$C$28=1,IF(M$2=1,Assumptions!$C$26,0),Assumptions!$C$26/Assumptions!$H$15)-Assumptions!$C$33+IF(M$2=Assumptions!$H$15,(INDEX('Pro Forma'!$D$26:$M$26,Assumptions!$H$15)+INDEX('Pro Forma'!$D$9:$M$9,Assumptions!$H$15)*(((1+Assumptions!$H$16+$O11)/(1+Assumptions!$H$16))^Assumptions!$H$15-1))/IF((Assumptions!$C$22+$P11)=0,1,Assumptions!$C$22+$P11)*(1-Assumptions!$C$23)-INDEX('Debt Schedule'!$C$8:$L$8,Assumptions!$H$15)-INDEX('Debt Schedule'!$C$19:$L$19,Assumptions!$H$15),0))</f>
        <v>0</v>
      </c>
      <c r="N11" s="99" t="n">
        <f aca="false">IFERROR(IRR(C11:M11),0)</f>
        <v>0</v>
      </c>
      <c r="O11" s="100" t="n">
        <f aca="false">(MOD(ROW()-3,5)-2)*0.005</f>
        <v>0.005</v>
      </c>
      <c r="P11" s="100" t="n">
        <f aca="false">(INT((ROW()-3)/5)-2)*0.0025</f>
        <v>-0.0025</v>
      </c>
    </row>
    <row r="12" customFormat="false" ht="15" hidden="false" customHeight="true" outlineLevel="0" collapsed="false">
      <c r="C12" s="98" t="n">
        <f aca="false">-Assumptions!$C$70</f>
        <v>-0</v>
      </c>
      <c r="D12" s="98" t="n">
        <f aca="false" t="array" ref="D12:D12">IF(D$2&gt;Assumptions!$H$15,0,(INDEX('Pro Forma'!$D$26:$M$26,D$2)+INDEX('Pro Forma'!$D$9:$M$9,D$2)*(((1+Assumptions!$H$16+$O12)/(1+Assumptions!$H$16))^D$2-1))-IF(Assumptions!$C$37=1,Assumptions!$C$68,IF(Assumptions!$C$37=2,Assumptions!$C$69,IF(D$2&lt;=Assumptions!$C$41,Assumptions!$C$68,Assumptions!$C$69)))-Assumptions!$C$58-IF(Assumptions!$C$28=1,IF(D$2=1,Assumptions!$C$26,0),Assumptions!$C$26/Assumptions!$H$15)-Assumptions!$C$33+IF(D$2=Assumptions!$H$15,(INDEX('Pro Forma'!$D$26:$M$26,Assumptions!$H$15)+INDEX('Pro Forma'!$D$9:$M$9,Assumptions!$H$15)*(((1+Assumptions!$H$16+$O12)/(1+Assumptions!$H$16))^Assumptions!$H$15-1))/IF((Assumptions!$C$22+$P12)=0,1,Assumptions!$C$22+$P12)*(1-Assumptions!$C$23)-INDEX('Debt Schedule'!$C$8:$L$8,Assumptions!$H$15)-INDEX('Debt Schedule'!$C$19:$L$19,Assumptions!$H$15),0))</f>
        <v>0</v>
      </c>
      <c r="E12" s="98" t="n">
        <f aca="false" t="array" ref="E12:E12">IF(E$2&gt;Assumptions!$H$15,0,(INDEX('Pro Forma'!$D$26:$M$26,E$2)+INDEX('Pro Forma'!$D$9:$M$9,E$2)*(((1+Assumptions!$H$16+$O12)/(1+Assumptions!$H$16))^E$2-1))-IF(Assumptions!$C$37=1,Assumptions!$C$68,IF(Assumptions!$C$37=2,Assumptions!$C$69,IF(E$2&lt;=Assumptions!$C$41,Assumptions!$C$68,Assumptions!$C$69)))-Assumptions!$C$58-IF(Assumptions!$C$28=1,IF(E$2=1,Assumptions!$C$26,0),Assumptions!$C$26/Assumptions!$H$15)-Assumptions!$C$33+IF(E$2=Assumptions!$H$15,(INDEX('Pro Forma'!$D$26:$M$26,Assumptions!$H$15)+INDEX('Pro Forma'!$D$9:$M$9,Assumptions!$H$15)*(((1+Assumptions!$H$16+$O12)/(1+Assumptions!$H$16))^Assumptions!$H$15-1))/IF((Assumptions!$C$22+$P12)=0,1,Assumptions!$C$22+$P12)*(1-Assumptions!$C$23)-INDEX('Debt Schedule'!$C$8:$L$8,Assumptions!$H$15)-INDEX('Debt Schedule'!$C$19:$L$19,Assumptions!$H$15),0))</f>
        <v>0</v>
      </c>
      <c r="F12" s="98" t="n">
        <f aca="false" t="array" ref="F12:F12">IF(F$2&gt;Assumptions!$H$15,0,(INDEX('Pro Forma'!$D$26:$M$26,F$2)+INDEX('Pro Forma'!$D$9:$M$9,F$2)*(((1+Assumptions!$H$16+$O12)/(1+Assumptions!$H$16))^F$2-1))-IF(Assumptions!$C$37=1,Assumptions!$C$68,IF(Assumptions!$C$37=2,Assumptions!$C$69,IF(F$2&lt;=Assumptions!$C$41,Assumptions!$C$68,Assumptions!$C$69)))-Assumptions!$C$58-IF(Assumptions!$C$28=1,IF(F$2=1,Assumptions!$C$26,0),Assumptions!$C$26/Assumptions!$H$15)-Assumptions!$C$33+IF(F$2=Assumptions!$H$15,(INDEX('Pro Forma'!$D$26:$M$26,Assumptions!$H$15)+INDEX('Pro Forma'!$D$9:$M$9,Assumptions!$H$15)*(((1+Assumptions!$H$16+$O12)/(1+Assumptions!$H$16))^Assumptions!$H$15-1))/IF((Assumptions!$C$22+$P12)=0,1,Assumptions!$C$22+$P12)*(1-Assumptions!$C$23)-INDEX('Debt Schedule'!$C$8:$L$8,Assumptions!$H$15)-INDEX('Debt Schedule'!$C$19:$L$19,Assumptions!$H$15),0))</f>
        <v>0</v>
      </c>
      <c r="G12" s="98" t="n">
        <f aca="false" t="array" ref="G12:G12">IF(G$2&gt;Assumptions!$H$15,0,(INDEX('Pro Forma'!$D$26:$M$26,G$2)+INDEX('Pro Forma'!$D$9:$M$9,G$2)*(((1+Assumptions!$H$16+$O12)/(1+Assumptions!$H$16))^G$2-1))-IF(Assumptions!$C$37=1,Assumptions!$C$68,IF(Assumptions!$C$37=2,Assumptions!$C$69,IF(G$2&lt;=Assumptions!$C$41,Assumptions!$C$68,Assumptions!$C$69)))-Assumptions!$C$58-IF(Assumptions!$C$28=1,IF(G$2=1,Assumptions!$C$26,0),Assumptions!$C$26/Assumptions!$H$15)-Assumptions!$C$33+IF(G$2=Assumptions!$H$15,(INDEX('Pro Forma'!$D$26:$M$26,Assumptions!$H$15)+INDEX('Pro Forma'!$D$9:$M$9,Assumptions!$H$15)*(((1+Assumptions!$H$16+$O12)/(1+Assumptions!$H$16))^Assumptions!$H$15-1))/IF((Assumptions!$C$22+$P12)=0,1,Assumptions!$C$22+$P12)*(1-Assumptions!$C$23)-INDEX('Debt Schedule'!$C$8:$L$8,Assumptions!$H$15)-INDEX('Debt Schedule'!$C$19:$L$19,Assumptions!$H$15),0))</f>
        <v>0</v>
      </c>
      <c r="H12" s="98" t="n">
        <f aca="false" t="array" ref="H12:H12">IF(H$2&gt;Assumptions!$H$15,0,(INDEX('Pro Forma'!$D$26:$M$26,H$2)+INDEX('Pro Forma'!$D$9:$M$9,H$2)*(((1+Assumptions!$H$16+$O12)/(1+Assumptions!$H$16))^H$2-1))-IF(Assumptions!$C$37=1,Assumptions!$C$68,IF(Assumptions!$C$37=2,Assumptions!$C$69,IF(H$2&lt;=Assumptions!$C$41,Assumptions!$C$68,Assumptions!$C$69)))-Assumptions!$C$58-IF(Assumptions!$C$28=1,IF(H$2=1,Assumptions!$C$26,0),Assumptions!$C$26/Assumptions!$H$15)-Assumptions!$C$33+IF(H$2=Assumptions!$H$15,(INDEX('Pro Forma'!$D$26:$M$26,Assumptions!$H$15)+INDEX('Pro Forma'!$D$9:$M$9,Assumptions!$H$15)*(((1+Assumptions!$H$16+$O12)/(1+Assumptions!$H$16))^Assumptions!$H$15-1))/IF((Assumptions!$C$22+$P12)=0,1,Assumptions!$C$22+$P12)*(1-Assumptions!$C$23)-INDEX('Debt Schedule'!$C$8:$L$8,Assumptions!$H$15)-INDEX('Debt Schedule'!$C$19:$L$19,Assumptions!$H$15),0))</f>
        <v>0</v>
      </c>
      <c r="I12" s="98" t="n">
        <f aca="false" t="array" ref="I12:I12">IF(I$2&gt;Assumptions!$H$15,0,(INDEX('Pro Forma'!$D$26:$M$26,I$2)+INDEX('Pro Forma'!$D$9:$M$9,I$2)*(((1+Assumptions!$H$16+$O12)/(1+Assumptions!$H$16))^I$2-1))-IF(Assumptions!$C$37=1,Assumptions!$C$68,IF(Assumptions!$C$37=2,Assumptions!$C$69,IF(I$2&lt;=Assumptions!$C$41,Assumptions!$C$68,Assumptions!$C$69)))-Assumptions!$C$58-IF(Assumptions!$C$28=1,IF(I$2=1,Assumptions!$C$26,0),Assumptions!$C$26/Assumptions!$H$15)-Assumptions!$C$33+IF(I$2=Assumptions!$H$15,(INDEX('Pro Forma'!$D$26:$M$26,Assumptions!$H$15)+INDEX('Pro Forma'!$D$9:$M$9,Assumptions!$H$15)*(((1+Assumptions!$H$16+$O12)/(1+Assumptions!$H$16))^Assumptions!$H$15-1))/IF((Assumptions!$C$22+$P12)=0,1,Assumptions!$C$22+$P12)*(1-Assumptions!$C$23)-INDEX('Debt Schedule'!$C$8:$L$8,Assumptions!$H$15)-INDEX('Debt Schedule'!$C$19:$L$19,Assumptions!$H$15),0))</f>
        <v>0</v>
      </c>
      <c r="J12" s="98" t="n">
        <f aca="false" t="array" ref="J12:J12">IF(J$2&gt;Assumptions!$H$15,0,(INDEX('Pro Forma'!$D$26:$M$26,J$2)+INDEX('Pro Forma'!$D$9:$M$9,J$2)*(((1+Assumptions!$H$16+$O12)/(1+Assumptions!$H$16))^J$2-1))-IF(Assumptions!$C$37=1,Assumptions!$C$68,IF(Assumptions!$C$37=2,Assumptions!$C$69,IF(J$2&lt;=Assumptions!$C$41,Assumptions!$C$68,Assumptions!$C$69)))-Assumptions!$C$58-IF(Assumptions!$C$28=1,IF(J$2=1,Assumptions!$C$26,0),Assumptions!$C$26/Assumptions!$H$15)-Assumptions!$C$33+IF(J$2=Assumptions!$H$15,(INDEX('Pro Forma'!$D$26:$M$26,Assumptions!$H$15)+INDEX('Pro Forma'!$D$9:$M$9,Assumptions!$H$15)*(((1+Assumptions!$H$16+$O12)/(1+Assumptions!$H$16))^Assumptions!$H$15-1))/IF((Assumptions!$C$22+$P12)=0,1,Assumptions!$C$22+$P12)*(1-Assumptions!$C$23)-INDEX('Debt Schedule'!$C$8:$L$8,Assumptions!$H$15)-INDEX('Debt Schedule'!$C$19:$L$19,Assumptions!$H$15),0))</f>
        <v>0</v>
      </c>
      <c r="K12" s="98" t="n">
        <f aca="false" t="array" ref="K12:K12">IF(K$2&gt;Assumptions!$H$15,0,(INDEX('Pro Forma'!$D$26:$M$26,K$2)+INDEX('Pro Forma'!$D$9:$M$9,K$2)*(((1+Assumptions!$H$16+$O12)/(1+Assumptions!$H$16))^K$2-1))-IF(Assumptions!$C$37=1,Assumptions!$C$68,IF(Assumptions!$C$37=2,Assumptions!$C$69,IF(K$2&lt;=Assumptions!$C$41,Assumptions!$C$68,Assumptions!$C$69)))-Assumptions!$C$58-IF(Assumptions!$C$28=1,IF(K$2=1,Assumptions!$C$26,0),Assumptions!$C$26/Assumptions!$H$15)-Assumptions!$C$33+IF(K$2=Assumptions!$H$15,(INDEX('Pro Forma'!$D$26:$M$26,Assumptions!$H$15)+INDEX('Pro Forma'!$D$9:$M$9,Assumptions!$H$15)*(((1+Assumptions!$H$16+$O12)/(1+Assumptions!$H$16))^Assumptions!$H$15-1))/IF((Assumptions!$C$22+$P12)=0,1,Assumptions!$C$22+$P12)*(1-Assumptions!$C$23)-INDEX('Debt Schedule'!$C$8:$L$8,Assumptions!$H$15)-INDEX('Debt Schedule'!$C$19:$L$19,Assumptions!$H$15),0))</f>
        <v>0</v>
      </c>
      <c r="L12" s="98" t="n">
        <f aca="false" t="array" ref="L12:L12">IF(L$2&gt;Assumptions!$H$15,0,(INDEX('Pro Forma'!$D$26:$M$26,L$2)+INDEX('Pro Forma'!$D$9:$M$9,L$2)*(((1+Assumptions!$H$16+$O12)/(1+Assumptions!$H$16))^L$2-1))-IF(Assumptions!$C$37=1,Assumptions!$C$68,IF(Assumptions!$C$37=2,Assumptions!$C$69,IF(L$2&lt;=Assumptions!$C$41,Assumptions!$C$68,Assumptions!$C$69)))-Assumptions!$C$58-IF(Assumptions!$C$28=1,IF(L$2=1,Assumptions!$C$26,0),Assumptions!$C$26/Assumptions!$H$15)-Assumptions!$C$33+IF(L$2=Assumptions!$H$15,(INDEX('Pro Forma'!$D$26:$M$26,Assumptions!$H$15)+INDEX('Pro Forma'!$D$9:$M$9,Assumptions!$H$15)*(((1+Assumptions!$H$16+$O12)/(1+Assumptions!$H$16))^Assumptions!$H$15-1))/IF((Assumptions!$C$22+$P12)=0,1,Assumptions!$C$22+$P12)*(1-Assumptions!$C$23)-INDEX('Debt Schedule'!$C$8:$L$8,Assumptions!$H$15)-INDEX('Debt Schedule'!$C$19:$L$19,Assumptions!$H$15),0))</f>
        <v>0</v>
      </c>
      <c r="M12" s="98" t="n">
        <f aca="false" t="array" ref="M12:M12">IF(M$2&gt;Assumptions!$H$15,0,(INDEX('Pro Forma'!$D$26:$M$26,M$2)+INDEX('Pro Forma'!$D$9:$M$9,M$2)*(((1+Assumptions!$H$16+$O12)/(1+Assumptions!$H$16))^M$2-1))-IF(Assumptions!$C$37=1,Assumptions!$C$68,IF(Assumptions!$C$37=2,Assumptions!$C$69,IF(M$2&lt;=Assumptions!$C$41,Assumptions!$C$68,Assumptions!$C$69)))-Assumptions!$C$58-IF(Assumptions!$C$28=1,IF(M$2=1,Assumptions!$C$26,0),Assumptions!$C$26/Assumptions!$H$15)-Assumptions!$C$33+IF(M$2=Assumptions!$H$15,(INDEX('Pro Forma'!$D$26:$M$26,Assumptions!$H$15)+INDEX('Pro Forma'!$D$9:$M$9,Assumptions!$H$15)*(((1+Assumptions!$H$16+$O12)/(1+Assumptions!$H$16))^Assumptions!$H$15-1))/IF((Assumptions!$C$22+$P12)=0,1,Assumptions!$C$22+$P12)*(1-Assumptions!$C$23)-INDEX('Debt Schedule'!$C$8:$L$8,Assumptions!$H$15)-INDEX('Debt Schedule'!$C$19:$L$19,Assumptions!$H$15),0))</f>
        <v>0</v>
      </c>
      <c r="N12" s="99" t="n">
        <f aca="false">IFERROR(IRR(C12:M12),0)</f>
        <v>0</v>
      </c>
      <c r="O12" s="100" t="n">
        <f aca="false">(MOD(ROW()-3,5)-2)*0.005</f>
        <v>0.01</v>
      </c>
      <c r="P12" s="100" t="n">
        <f aca="false">(INT((ROW()-3)/5)-2)*0.0025</f>
        <v>-0.0025</v>
      </c>
    </row>
    <row r="13" customFormat="false" ht="15" hidden="false" customHeight="true" outlineLevel="0" collapsed="false">
      <c r="C13" s="98" t="n">
        <f aca="false">-Assumptions!$C$70</f>
        <v>-0</v>
      </c>
      <c r="D13" s="98" t="n">
        <f aca="false" t="array" ref="D13:D13">IF(D$2&gt;Assumptions!$H$15,0,(INDEX('Pro Forma'!$D$26:$M$26,D$2)+INDEX('Pro Forma'!$D$9:$M$9,D$2)*(((1+Assumptions!$H$16+$O13)/(1+Assumptions!$H$16))^D$2-1))-IF(Assumptions!$C$37=1,Assumptions!$C$68,IF(Assumptions!$C$37=2,Assumptions!$C$69,IF(D$2&lt;=Assumptions!$C$41,Assumptions!$C$68,Assumptions!$C$69)))-Assumptions!$C$58-IF(Assumptions!$C$28=1,IF(D$2=1,Assumptions!$C$26,0),Assumptions!$C$26/Assumptions!$H$15)-Assumptions!$C$33+IF(D$2=Assumptions!$H$15,(INDEX('Pro Forma'!$D$26:$M$26,Assumptions!$H$15)+INDEX('Pro Forma'!$D$9:$M$9,Assumptions!$H$15)*(((1+Assumptions!$H$16+$O13)/(1+Assumptions!$H$16))^Assumptions!$H$15-1))/IF((Assumptions!$C$22+$P13)=0,1,Assumptions!$C$22+$P13)*(1-Assumptions!$C$23)-INDEX('Debt Schedule'!$C$8:$L$8,Assumptions!$H$15)-INDEX('Debt Schedule'!$C$19:$L$19,Assumptions!$H$15),0))</f>
        <v>0</v>
      </c>
      <c r="E13" s="98" t="n">
        <f aca="false" t="array" ref="E13:E13">IF(E$2&gt;Assumptions!$H$15,0,(INDEX('Pro Forma'!$D$26:$M$26,E$2)+INDEX('Pro Forma'!$D$9:$M$9,E$2)*(((1+Assumptions!$H$16+$O13)/(1+Assumptions!$H$16))^E$2-1))-IF(Assumptions!$C$37=1,Assumptions!$C$68,IF(Assumptions!$C$37=2,Assumptions!$C$69,IF(E$2&lt;=Assumptions!$C$41,Assumptions!$C$68,Assumptions!$C$69)))-Assumptions!$C$58-IF(Assumptions!$C$28=1,IF(E$2=1,Assumptions!$C$26,0),Assumptions!$C$26/Assumptions!$H$15)-Assumptions!$C$33+IF(E$2=Assumptions!$H$15,(INDEX('Pro Forma'!$D$26:$M$26,Assumptions!$H$15)+INDEX('Pro Forma'!$D$9:$M$9,Assumptions!$H$15)*(((1+Assumptions!$H$16+$O13)/(1+Assumptions!$H$16))^Assumptions!$H$15-1))/IF((Assumptions!$C$22+$P13)=0,1,Assumptions!$C$22+$P13)*(1-Assumptions!$C$23)-INDEX('Debt Schedule'!$C$8:$L$8,Assumptions!$H$15)-INDEX('Debt Schedule'!$C$19:$L$19,Assumptions!$H$15),0))</f>
        <v>0</v>
      </c>
      <c r="F13" s="98" t="n">
        <f aca="false" t="array" ref="F13:F13">IF(F$2&gt;Assumptions!$H$15,0,(INDEX('Pro Forma'!$D$26:$M$26,F$2)+INDEX('Pro Forma'!$D$9:$M$9,F$2)*(((1+Assumptions!$H$16+$O13)/(1+Assumptions!$H$16))^F$2-1))-IF(Assumptions!$C$37=1,Assumptions!$C$68,IF(Assumptions!$C$37=2,Assumptions!$C$69,IF(F$2&lt;=Assumptions!$C$41,Assumptions!$C$68,Assumptions!$C$69)))-Assumptions!$C$58-IF(Assumptions!$C$28=1,IF(F$2=1,Assumptions!$C$26,0),Assumptions!$C$26/Assumptions!$H$15)-Assumptions!$C$33+IF(F$2=Assumptions!$H$15,(INDEX('Pro Forma'!$D$26:$M$26,Assumptions!$H$15)+INDEX('Pro Forma'!$D$9:$M$9,Assumptions!$H$15)*(((1+Assumptions!$H$16+$O13)/(1+Assumptions!$H$16))^Assumptions!$H$15-1))/IF((Assumptions!$C$22+$P13)=0,1,Assumptions!$C$22+$P13)*(1-Assumptions!$C$23)-INDEX('Debt Schedule'!$C$8:$L$8,Assumptions!$H$15)-INDEX('Debt Schedule'!$C$19:$L$19,Assumptions!$H$15),0))</f>
        <v>0</v>
      </c>
      <c r="G13" s="98" t="n">
        <f aca="false" t="array" ref="G13:G13">IF(G$2&gt;Assumptions!$H$15,0,(INDEX('Pro Forma'!$D$26:$M$26,G$2)+INDEX('Pro Forma'!$D$9:$M$9,G$2)*(((1+Assumptions!$H$16+$O13)/(1+Assumptions!$H$16))^G$2-1))-IF(Assumptions!$C$37=1,Assumptions!$C$68,IF(Assumptions!$C$37=2,Assumptions!$C$69,IF(G$2&lt;=Assumptions!$C$41,Assumptions!$C$68,Assumptions!$C$69)))-Assumptions!$C$58-IF(Assumptions!$C$28=1,IF(G$2=1,Assumptions!$C$26,0),Assumptions!$C$26/Assumptions!$H$15)-Assumptions!$C$33+IF(G$2=Assumptions!$H$15,(INDEX('Pro Forma'!$D$26:$M$26,Assumptions!$H$15)+INDEX('Pro Forma'!$D$9:$M$9,Assumptions!$H$15)*(((1+Assumptions!$H$16+$O13)/(1+Assumptions!$H$16))^Assumptions!$H$15-1))/IF((Assumptions!$C$22+$P13)=0,1,Assumptions!$C$22+$P13)*(1-Assumptions!$C$23)-INDEX('Debt Schedule'!$C$8:$L$8,Assumptions!$H$15)-INDEX('Debt Schedule'!$C$19:$L$19,Assumptions!$H$15),0))</f>
        <v>0</v>
      </c>
      <c r="H13" s="98" t="n">
        <f aca="false" t="array" ref="H13:H13">IF(H$2&gt;Assumptions!$H$15,0,(INDEX('Pro Forma'!$D$26:$M$26,H$2)+INDEX('Pro Forma'!$D$9:$M$9,H$2)*(((1+Assumptions!$H$16+$O13)/(1+Assumptions!$H$16))^H$2-1))-IF(Assumptions!$C$37=1,Assumptions!$C$68,IF(Assumptions!$C$37=2,Assumptions!$C$69,IF(H$2&lt;=Assumptions!$C$41,Assumptions!$C$68,Assumptions!$C$69)))-Assumptions!$C$58-IF(Assumptions!$C$28=1,IF(H$2=1,Assumptions!$C$26,0),Assumptions!$C$26/Assumptions!$H$15)-Assumptions!$C$33+IF(H$2=Assumptions!$H$15,(INDEX('Pro Forma'!$D$26:$M$26,Assumptions!$H$15)+INDEX('Pro Forma'!$D$9:$M$9,Assumptions!$H$15)*(((1+Assumptions!$H$16+$O13)/(1+Assumptions!$H$16))^Assumptions!$H$15-1))/IF((Assumptions!$C$22+$P13)=0,1,Assumptions!$C$22+$P13)*(1-Assumptions!$C$23)-INDEX('Debt Schedule'!$C$8:$L$8,Assumptions!$H$15)-INDEX('Debt Schedule'!$C$19:$L$19,Assumptions!$H$15),0))</f>
        <v>0</v>
      </c>
      <c r="I13" s="98" t="n">
        <f aca="false" t="array" ref="I13:I13">IF(I$2&gt;Assumptions!$H$15,0,(INDEX('Pro Forma'!$D$26:$M$26,I$2)+INDEX('Pro Forma'!$D$9:$M$9,I$2)*(((1+Assumptions!$H$16+$O13)/(1+Assumptions!$H$16))^I$2-1))-IF(Assumptions!$C$37=1,Assumptions!$C$68,IF(Assumptions!$C$37=2,Assumptions!$C$69,IF(I$2&lt;=Assumptions!$C$41,Assumptions!$C$68,Assumptions!$C$69)))-Assumptions!$C$58-IF(Assumptions!$C$28=1,IF(I$2=1,Assumptions!$C$26,0),Assumptions!$C$26/Assumptions!$H$15)-Assumptions!$C$33+IF(I$2=Assumptions!$H$15,(INDEX('Pro Forma'!$D$26:$M$26,Assumptions!$H$15)+INDEX('Pro Forma'!$D$9:$M$9,Assumptions!$H$15)*(((1+Assumptions!$H$16+$O13)/(1+Assumptions!$H$16))^Assumptions!$H$15-1))/IF((Assumptions!$C$22+$P13)=0,1,Assumptions!$C$22+$P13)*(1-Assumptions!$C$23)-INDEX('Debt Schedule'!$C$8:$L$8,Assumptions!$H$15)-INDEX('Debt Schedule'!$C$19:$L$19,Assumptions!$H$15),0))</f>
        <v>0</v>
      </c>
      <c r="J13" s="98" t="n">
        <f aca="false" t="array" ref="J13:J13">IF(J$2&gt;Assumptions!$H$15,0,(INDEX('Pro Forma'!$D$26:$M$26,J$2)+INDEX('Pro Forma'!$D$9:$M$9,J$2)*(((1+Assumptions!$H$16+$O13)/(1+Assumptions!$H$16))^J$2-1))-IF(Assumptions!$C$37=1,Assumptions!$C$68,IF(Assumptions!$C$37=2,Assumptions!$C$69,IF(J$2&lt;=Assumptions!$C$41,Assumptions!$C$68,Assumptions!$C$69)))-Assumptions!$C$58-IF(Assumptions!$C$28=1,IF(J$2=1,Assumptions!$C$26,0),Assumptions!$C$26/Assumptions!$H$15)-Assumptions!$C$33+IF(J$2=Assumptions!$H$15,(INDEX('Pro Forma'!$D$26:$M$26,Assumptions!$H$15)+INDEX('Pro Forma'!$D$9:$M$9,Assumptions!$H$15)*(((1+Assumptions!$H$16+$O13)/(1+Assumptions!$H$16))^Assumptions!$H$15-1))/IF((Assumptions!$C$22+$P13)=0,1,Assumptions!$C$22+$P13)*(1-Assumptions!$C$23)-INDEX('Debt Schedule'!$C$8:$L$8,Assumptions!$H$15)-INDEX('Debt Schedule'!$C$19:$L$19,Assumptions!$H$15),0))</f>
        <v>0</v>
      </c>
      <c r="K13" s="98" t="n">
        <f aca="false" t="array" ref="K13:K13">IF(K$2&gt;Assumptions!$H$15,0,(INDEX('Pro Forma'!$D$26:$M$26,K$2)+INDEX('Pro Forma'!$D$9:$M$9,K$2)*(((1+Assumptions!$H$16+$O13)/(1+Assumptions!$H$16))^K$2-1))-IF(Assumptions!$C$37=1,Assumptions!$C$68,IF(Assumptions!$C$37=2,Assumptions!$C$69,IF(K$2&lt;=Assumptions!$C$41,Assumptions!$C$68,Assumptions!$C$69)))-Assumptions!$C$58-IF(Assumptions!$C$28=1,IF(K$2=1,Assumptions!$C$26,0),Assumptions!$C$26/Assumptions!$H$15)-Assumptions!$C$33+IF(K$2=Assumptions!$H$15,(INDEX('Pro Forma'!$D$26:$M$26,Assumptions!$H$15)+INDEX('Pro Forma'!$D$9:$M$9,Assumptions!$H$15)*(((1+Assumptions!$H$16+$O13)/(1+Assumptions!$H$16))^Assumptions!$H$15-1))/IF((Assumptions!$C$22+$P13)=0,1,Assumptions!$C$22+$P13)*(1-Assumptions!$C$23)-INDEX('Debt Schedule'!$C$8:$L$8,Assumptions!$H$15)-INDEX('Debt Schedule'!$C$19:$L$19,Assumptions!$H$15),0))</f>
        <v>0</v>
      </c>
      <c r="L13" s="98" t="n">
        <f aca="false" t="array" ref="L13:L13">IF(L$2&gt;Assumptions!$H$15,0,(INDEX('Pro Forma'!$D$26:$M$26,L$2)+INDEX('Pro Forma'!$D$9:$M$9,L$2)*(((1+Assumptions!$H$16+$O13)/(1+Assumptions!$H$16))^L$2-1))-IF(Assumptions!$C$37=1,Assumptions!$C$68,IF(Assumptions!$C$37=2,Assumptions!$C$69,IF(L$2&lt;=Assumptions!$C$41,Assumptions!$C$68,Assumptions!$C$69)))-Assumptions!$C$58-IF(Assumptions!$C$28=1,IF(L$2=1,Assumptions!$C$26,0),Assumptions!$C$26/Assumptions!$H$15)-Assumptions!$C$33+IF(L$2=Assumptions!$H$15,(INDEX('Pro Forma'!$D$26:$M$26,Assumptions!$H$15)+INDEX('Pro Forma'!$D$9:$M$9,Assumptions!$H$15)*(((1+Assumptions!$H$16+$O13)/(1+Assumptions!$H$16))^Assumptions!$H$15-1))/IF((Assumptions!$C$22+$P13)=0,1,Assumptions!$C$22+$P13)*(1-Assumptions!$C$23)-INDEX('Debt Schedule'!$C$8:$L$8,Assumptions!$H$15)-INDEX('Debt Schedule'!$C$19:$L$19,Assumptions!$H$15),0))</f>
        <v>0</v>
      </c>
      <c r="M13" s="98" t="n">
        <f aca="false" t="array" ref="M13:M13">IF(M$2&gt;Assumptions!$H$15,0,(INDEX('Pro Forma'!$D$26:$M$26,M$2)+INDEX('Pro Forma'!$D$9:$M$9,M$2)*(((1+Assumptions!$H$16+$O13)/(1+Assumptions!$H$16))^M$2-1))-IF(Assumptions!$C$37=1,Assumptions!$C$68,IF(Assumptions!$C$37=2,Assumptions!$C$69,IF(M$2&lt;=Assumptions!$C$41,Assumptions!$C$68,Assumptions!$C$69)))-Assumptions!$C$58-IF(Assumptions!$C$28=1,IF(M$2=1,Assumptions!$C$26,0),Assumptions!$C$26/Assumptions!$H$15)-Assumptions!$C$33+IF(M$2=Assumptions!$H$15,(INDEX('Pro Forma'!$D$26:$M$26,Assumptions!$H$15)+INDEX('Pro Forma'!$D$9:$M$9,Assumptions!$H$15)*(((1+Assumptions!$H$16+$O13)/(1+Assumptions!$H$16))^Assumptions!$H$15-1))/IF((Assumptions!$C$22+$P13)=0,1,Assumptions!$C$22+$P13)*(1-Assumptions!$C$23)-INDEX('Debt Schedule'!$C$8:$L$8,Assumptions!$H$15)-INDEX('Debt Schedule'!$C$19:$L$19,Assumptions!$H$15),0))</f>
        <v>0</v>
      </c>
      <c r="N13" s="99" t="n">
        <f aca="false">IFERROR(IRR(C13:M13),0)</f>
        <v>0</v>
      </c>
      <c r="O13" s="100" t="n">
        <f aca="false">(MOD(ROW()-3,5)-2)*0.005</f>
        <v>-0.01</v>
      </c>
      <c r="P13" s="100" t="n">
        <f aca="false">(INT((ROW()-3)/5)-2)*0.0025</f>
        <v>0</v>
      </c>
    </row>
    <row r="14" customFormat="false" ht="15" hidden="false" customHeight="true" outlineLevel="0" collapsed="false">
      <c r="C14" s="98" t="n">
        <f aca="false">-Assumptions!$C$70</f>
        <v>-0</v>
      </c>
      <c r="D14" s="98" t="n">
        <f aca="false" t="array" ref="D14:D14">IF(D$2&gt;Assumptions!$H$15,0,(INDEX('Pro Forma'!$D$26:$M$26,D$2)+INDEX('Pro Forma'!$D$9:$M$9,D$2)*(((1+Assumptions!$H$16+$O14)/(1+Assumptions!$H$16))^D$2-1))-IF(Assumptions!$C$37=1,Assumptions!$C$68,IF(Assumptions!$C$37=2,Assumptions!$C$69,IF(D$2&lt;=Assumptions!$C$41,Assumptions!$C$68,Assumptions!$C$69)))-Assumptions!$C$58-IF(Assumptions!$C$28=1,IF(D$2=1,Assumptions!$C$26,0),Assumptions!$C$26/Assumptions!$H$15)-Assumptions!$C$33+IF(D$2=Assumptions!$H$15,(INDEX('Pro Forma'!$D$26:$M$26,Assumptions!$H$15)+INDEX('Pro Forma'!$D$9:$M$9,Assumptions!$H$15)*(((1+Assumptions!$H$16+$O14)/(1+Assumptions!$H$16))^Assumptions!$H$15-1))/IF((Assumptions!$C$22+$P14)=0,1,Assumptions!$C$22+$P14)*(1-Assumptions!$C$23)-INDEX('Debt Schedule'!$C$8:$L$8,Assumptions!$H$15)-INDEX('Debt Schedule'!$C$19:$L$19,Assumptions!$H$15),0))</f>
        <v>0</v>
      </c>
      <c r="E14" s="98" t="n">
        <f aca="false" t="array" ref="E14:E14">IF(E$2&gt;Assumptions!$H$15,0,(INDEX('Pro Forma'!$D$26:$M$26,E$2)+INDEX('Pro Forma'!$D$9:$M$9,E$2)*(((1+Assumptions!$H$16+$O14)/(1+Assumptions!$H$16))^E$2-1))-IF(Assumptions!$C$37=1,Assumptions!$C$68,IF(Assumptions!$C$37=2,Assumptions!$C$69,IF(E$2&lt;=Assumptions!$C$41,Assumptions!$C$68,Assumptions!$C$69)))-Assumptions!$C$58-IF(Assumptions!$C$28=1,IF(E$2=1,Assumptions!$C$26,0),Assumptions!$C$26/Assumptions!$H$15)-Assumptions!$C$33+IF(E$2=Assumptions!$H$15,(INDEX('Pro Forma'!$D$26:$M$26,Assumptions!$H$15)+INDEX('Pro Forma'!$D$9:$M$9,Assumptions!$H$15)*(((1+Assumptions!$H$16+$O14)/(1+Assumptions!$H$16))^Assumptions!$H$15-1))/IF((Assumptions!$C$22+$P14)=0,1,Assumptions!$C$22+$P14)*(1-Assumptions!$C$23)-INDEX('Debt Schedule'!$C$8:$L$8,Assumptions!$H$15)-INDEX('Debt Schedule'!$C$19:$L$19,Assumptions!$H$15),0))</f>
        <v>0</v>
      </c>
      <c r="F14" s="98" t="n">
        <f aca="false" t="array" ref="F14:F14">IF(F$2&gt;Assumptions!$H$15,0,(INDEX('Pro Forma'!$D$26:$M$26,F$2)+INDEX('Pro Forma'!$D$9:$M$9,F$2)*(((1+Assumptions!$H$16+$O14)/(1+Assumptions!$H$16))^F$2-1))-IF(Assumptions!$C$37=1,Assumptions!$C$68,IF(Assumptions!$C$37=2,Assumptions!$C$69,IF(F$2&lt;=Assumptions!$C$41,Assumptions!$C$68,Assumptions!$C$69)))-Assumptions!$C$58-IF(Assumptions!$C$28=1,IF(F$2=1,Assumptions!$C$26,0),Assumptions!$C$26/Assumptions!$H$15)-Assumptions!$C$33+IF(F$2=Assumptions!$H$15,(INDEX('Pro Forma'!$D$26:$M$26,Assumptions!$H$15)+INDEX('Pro Forma'!$D$9:$M$9,Assumptions!$H$15)*(((1+Assumptions!$H$16+$O14)/(1+Assumptions!$H$16))^Assumptions!$H$15-1))/IF((Assumptions!$C$22+$P14)=0,1,Assumptions!$C$22+$P14)*(1-Assumptions!$C$23)-INDEX('Debt Schedule'!$C$8:$L$8,Assumptions!$H$15)-INDEX('Debt Schedule'!$C$19:$L$19,Assumptions!$H$15),0))</f>
        <v>0</v>
      </c>
      <c r="G14" s="98" t="n">
        <f aca="false" t="array" ref="G14:G14">IF(G$2&gt;Assumptions!$H$15,0,(INDEX('Pro Forma'!$D$26:$M$26,G$2)+INDEX('Pro Forma'!$D$9:$M$9,G$2)*(((1+Assumptions!$H$16+$O14)/(1+Assumptions!$H$16))^G$2-1))-IF(Assumptions!$C$37=1,Assumptions!$C$68,IF(Assumptions!$C$37=2,Assumptions!$C$69,IF(G$2&lt;=Assumptions!$C$41,Assumptions!$C$68,Assumptions!$C$69)))-Assumptions!$C$58-IF(Assumptions!$C$28=1,IF(G$2=1,Assumptions!$C$26,0),Assumptions!$C$26/Assumptions!$H$15)-Assumptions!$C$33+IF(G$2=Assumptions!$H$15,(INDEX('Pro Forma'!$D$26:$M$26,Assumptions!$H$15)+INDEX('Pro Forma'!$D$9:$M$9,Assumptions!$H$15)*(((1+Assumptions!$H$16+$O14)/(1+Assumptions!$H$16))^Assumptions!$H$15-1))/IF((Assumptions!$C$22+$P14)=0,1,Assumptions!$C$22+$P14)*(1-Assumptions!$C$23)-INDEX('Debt Schedule'!$C$8:$L$8,Assumptions!$H$15)-INDEX('Debt Schedule'!$C$19:$L$19,Assumptions!$H$15),0))</f>
        <v>0</v>
      </c>
      <c r="H14" s="98" t="n">
        <f aca="false" t="array" ref="H14:H14">IF(H$2&gt;Assumptions!$H$15,0,(INDEX('Pro Forma'!$D$26:$M$26,H$2)+INDEX('Pro Forma'!$D$9:$M$9,H$2)*(((1+Assumptions!$H$16+$O14)/(1+Assumptions!$H$16))^H$2-1))-IF(Assumptions!$C$37=1,Assumptions!$C$68,IF(Assumptions!$C$37=2,Assumptions!$C$69,IF(H$2&lt;=Assumptions!$C$41,Assumptions!$C$68,Assumptions!$C$69)))-Assumptions!$C$58-IF(Assumptions!$C$28=1,IF(H$2=1,Assumptions!$C$26,0),Assumptions!$C$26/Assumptions!$H$15)-Assumptions!$C$33+IF(H$2=Assumptions!$H$15,(INDEX('Pro Forma'!$D$26:$M$26,Assumptions!$H$15)+INDEX('Pro Forma'!$D$9:$M$9,Assumptions!$H$15)*(((1+Assumptions!$H$16+$O14)/(1+Assumptions!$H$16))^Assumptions!$H$15-1))/IF((Assumptions!$C$22+$P14)=0,1,Assumptions!$C$22+$P14)*(1-Assumptions!$C$23)-INDEX('Debt Schedule'!$C$8:$L$8,Assumptions!$H$15)-INDEX('Debt Schedule'!$C$19:$L$19,Assumptions!$H$15),0))</f>
        <v>0</v>
      </c>
      <c r="I14" s="98" t="n">
        <f aca="false" t="array" ref="I14:I14">IF(I$2&gt;Assumptions!$H$15,0,(INDEX('Pro Forma'!$D$26:$M$26,I$2)+INDEX('Pro Forma'!$D$9:$M$9,I$2)*(((1+Assumptions!$H$16+$O14)/(1+Assumptions!$H$16))^I$2-1))-IF(Assumptions!$C$37=1,Assumptions!$C$68,IF(Assumptions!$C$37=2,Assumptions!$C$69,IF(I$2&lt;=Assumptions!$C$41,Assumptions!$C$68,Assumptions!$C$69)))-Assumptions!$C$58-IF(Assumptions!$C$28=1,IF(I$2=1,Assumptions!$C$26,0),Assumptions!$C$26/Assumptions!$H$15)-Assumptions!$C$33+IF(I$2=Assumptions!$H$15,(INDEX('Pro Forma'!$D$26:$M$26,Assumptions!$H$15)+INDEX('Pro Forma'!$D$9:$M$9,Assumptions!$H$15)*(((1+Assumptions!$H$16+$O14)/(1+Assumptions!$H$16))^Assumptions!$H$15-1))/IF((Assumptions!$C$22+$P14)=0,1,Assumptions!$C$22+$P14)*(1-Assumptions!$C$23)-INDEX('Debt Schedule'!$C$8:$L$8,Assumptions!$H$15)-INDEX('Debt Schedule'!$C$19:$L$19,Assumptions!$H$15),0))</f>
        <v>0</v>
      </c>
      <c r="J14" s="98" t="n">
        <f aca="false" t="array" ref="J14:J14">IF(J$2&gt;Assumptions!$H$15,0,(INDEX('Pro Forma'!$D$26:$M$26,J$2)+INDEX('Pro Forma'!$D$9:$M$9,J$2)*(((1+Assumptions!$H$16+$O14)/(1+Assumptions!$H$16))^J$2-1))-IF(Assumptions!$C$37=1,Assumptions!$C$68,IF(Assumptions!$C$37=2,Assumptions!$C$69,IF(J$2&lt;=Assumptions!$C$41,Assumptions!$C$68,Assumptions!$C$69)))-Assumptions!$C$58-IF(Assumptions!$C$28=1,IF(J$2=1,Assumptions!$C$26,0),Assumptions!$C$26/Assumptions!$H$15)-Assumptions!$C$33+IF(J$2=Assumptions!$H$15,(INDEX('Pro Forma'!$D$26:$M$26,Assumptions!$H$15)+INDEX('Pro Forma'!$D$9:$M$9,Assumptions!$H$15)*(((1+Assumptions!$H$16+$O14)/(1+Assumptions!$H$16))^Assumptions!$H$15-1))/IF((Assumptions!$C$22+$P14)=0,1,Assumptions!$C$22+$P14)*(1-Assumptions!$C$23)-INDEX('Debt Schedule'!$C$8:$L$8,Assumptions!$H$15)-INDEX('Debt Schedule'!$C$19:$L$19,Assumptions!$H$15),0))</f>
        <v>0</v>
      </c>
      <c r="K14" s="98" t="n">
        <f aca="false" t="array" ref="K14:K14">IF(K$2&gt;Assumptions!$H$15,0,(INDEX('Pro Forma'!$D$26:$M$26,K$2)+INDEX('Pro Forma'!$D$9:$M$9,K$2)*(((1+Assumptions!$H$16+$O14)/(1+Assumptions!$H$16))^K$2-1))-IF(Assumptions!$C$37=1,Assumptions!$C$68,IF(Assumptions!$C$37=2,Assumptions!$C$69,IF(K$2&lt;=Assumptions!$C$41,Assumptions!$C$68,Assumptions!$C$69)))-Assumptions!$C$58-IF(Assumptions!$C$28=1,IF(K$2=1,Assumptions!$C$26,0),Assumptions!$C$26/Assumptions!$H$15)-Assumptions!$C$33+IF(K$2=Assumptions!$H$15,(INDEX('Pro Forma'!$D$26:$M$26,Assumptions!$H$15)+INDEX('Pro Forma'!$D$9:$M$9,Assumptions!$H$15)*(((1+Assumptions!$H$16+$O14)/(1+Assumptions!$H$16))^Assumptions!$H$15-1))/IF((Assumptions!$C$22+$P14)=0,1,Assumptions!$C$22+$P14)*(1-Assumptions!$C$23)-INDEX('Debt Schedule'!$C$8:$L$8,Assumptions!$H$15)-INDEX('Debt Schedule'!$C$19:$L$19,Assumptions!$H$15),0))</f>
        <v>0</v>
      </c>
      <c r="L14" s="98" t="n">
        <f aca="false" t="array" ref="L14:L14">IF(L$2&gt;Assumptions!$H$15,0,(INDEX('Pro Forma'!$D$26:$M$26,L$2)+INDEX('Pro Forma'!$D$9:$M$9,L$2)*(((1+Assumptions!$H$16+$O14)/(1+Assumptions!$H$16))^L$2-1))-IF(Assumptions!$C$37=1,Assumptions!$C$68,IF(Assumptions!$C$37=2,Assumptions!$C$69,IF(L$2&lt;=Assumptions!$C$41,Assumptions!$C$68,Assumptions!$C$69)))-Assumptions!$C$58-IF(Assumptions!$C$28=1,IF(L$2=1,Assumptions!$C$26,0),Assumptions!$C$26/Assumptions!$H$15)-Assumptions!$C$33+IF(L$2=Assumptions!$H$15,(INDEX('Pro Forma'!$D$26:$M$26,Assumptions!$H$15)+INDEX('Pro Forma'!$D$9:$M$9,Assumptions!$H$15)*(((1+Assumptions!$H$16+$O14)/(1+Assumptions!$H$16))^Assumptions!$H$15-1))/IF((Assumptions!$C$22+$P14)=0,1,Assumptions!$C$22+$P14)*(1-Assumptions!$C$23)-INDEX('Debt Schedule'!$C$8:$L$8,Assumptions!$H$15)-INDEX('Debt Schedule'!$C$19:$L$19,Assumptions!$H$15),0))</f>
        <v>0</v>
      </c>
      <c r="M14" s="98" t="n">
        <f aca="false" t="array" ref="M14:M14">IF(M$2&gt;Assumptions!$H$15,0,(INDEX('Pro Forma'!$D$26:$M$26,M$2)+INDEX('Pro Forma'!$D$9:$M$9,M$2)*(((1+Assumptions!$H$16+$O14)/(1+Assumptions!$H$16))^M$2-1))-IF(Assumptions!$C$37=1,Assumptions!$C$68,IF(Assumptions!$C$37=2,Assumptions!$C$69,IF(M$2&lt;=Assumptions!$C$41,Assumptions!$C$68,Assumptions!$C$69)))-Assumptions!$C$58-IF(Assumptions!$C$28=1,IF(M$2=1,Assumptions!$C$26,0),Assumptions!$C$26/Assumptions!$H$15)-Assumptions!$C$33+IF(M$2=Assumptions!$H$15,(INDEX('Pro Forma'!$D$26:$M$26,Assumptions!$H$15)+INDEX('Pro Forma'!$D$9:$M$9,Assumptions!$H$15)*(((1+Assumptions!$H$16+$O14)/(1+Assumptions!$H$16))^Assumptions!$H$15-1))/IF((Assumptions!$C$22+$P14)=0,1,Assumptions!$C$22+$P14)*(1-Assumptions!$C$23)-INDEX('Debt Schedule'!$C$8:$L$8,Assumptions!$H$15)-INDEX('Debt Schedule'!$C$19:$L$19,Assumptions!$H$15),0))</f>
        <v>0</v>
      </c>
      <c r="N14" s="99" t="n">
        <f aca="false">IFERROR(IRR(C14:M14),0)</f>
        <v>0</v>
      </c>
      <c r="O14" s="100" t="n">
        <f aca="false">(MOD(ROW()-3,5)-2)*0.005</f>
        <v>-0.005</v>
      </c>
      <c r="P14" s="100" t="n">
        <f aca="false">(INT((ROW()-3)/5)-2)*0.0025</f>
        <v>0</v>
      </c>
    </row>
    <row r="15" customFormat="false" ht="15" hidden="false" customHeight="true" outlineLevel="0" collapsed="false">
      <c r="C15" s="98" t="n">
        <f aca="false">-Assumptions!$C$70</f>
        <v>-0</v>
      </c>
      <c r="D15" s="98" t="n">
        <f aca="false" t="array" ref="D15:D15">IF(D$2&gt;Assumptions!$H$15,0,(INDEX('Pro Forma'!$D$26:$M$26,D$2)+INDEX('Pro Forma'!$D$9:$M$9,D$2)*(((1+Assumptions!$H$16+$O15)/(1+Assumptions!$H$16))^D$2-1))-IF(Assumptions!$C$37=1,Assumptions!$C$68,IF(Assumptions!$C$37=2,Assumptions!$C$69,IF(D$2&lt;=Assumptions!$C$41,Assumptions!$C$68,Assumptions!$C$69)))-Assumptions!$C$58-IF(Assumptions!$C$28=1,IF(D$2=1,Assumptions!$C$26,0),Assumptions!$C$26/Assumptions!$H$15)-Assumptions!$C$33+IF(D$2=Assumptions!$H$15,(INDEX('Pro Forma'!$D$26:$M$26,Assumptions!$H$15)+INDEX('Pro Forma'!$D$9:$M$9,Assumptions!$H$15)*(((1+Assumptions!$H$16+$O15)/(1+Assumptions!$H$16))^Assumptions!$H$15-1))/IF((Assumptions!$C$22+$P15)=0,1,Assumptions!$C$22+$P15)*(1-Assumptions!$C$23)-INDEX('Debt Schedule'!$C$8:$L$8,Assumptions!$H$15)-INDEX('Debt Schedule'!$C$19:$L$19,Assumptions!$H$15),0))</f>
        <v>0</v>
      </c>
      <c r="E15" s="98" t="n">
        <f aca="false" t="array" ref="E15:E15">IF(E$2&gt;Assumptions!$H$15,0,(INDEX('Pro Forma'!$D$26:$M$26,E$2)+INDEX('Pro Forma'!$D$9:$M$9,E$2)*(((1+Assumptions!$H$16+$O15)/(1+Assumptions!$H$16))^E$2-1))-IF(Assumptions!$C$37=1,Assumptions!$C$68,IF(Assumptions!$C$37=2,Assumptions!$C$69,IF(E$2&lt;=Assumptions!$C$41,Assumptions!$C$68,Assumptions!$C$69)))-Assumptions!$C$58-IF(Assumptions!$C$28=1,IF(E$2=1,Assumptions!$C$26,0),Assumptions!$C$26/Assumptions!$H$15)-Assumptions!$C$33+IF(E$2=Assumptions!$H$15,(INDEX('Pro Forma'!$D$26:$M$26,Assumptions!$H$15)+INDEX('Pro Forma'!$D$9:$M$9,Assumptions!$H$15)*(((1+Assumptions!$H$16+$O15)/(1+Assumptions!$H$16))^Assumptions!$H$15-1))/IF((Assumptions!$C$22+$P15)=0,1,Assumptions!$C$22+$P15)*(1-Assumptions!$C$23)-INDEX('Debt Schedule'!$C$8:$L$8,Assumptions!$H$15)-INDEX('Debt Schedule'!$C$19:$L$19,Assumptions!$H$15),0))</f>
        <v>0</v>
      </c>
      <c r="F15" s="98" t="n">
        <f aca="false" t="array" ref="F15:F15">IF(F$2&gt;Assumptions!$H$15,0,(INDEX('Pro Forma'!$D$26:$M$26,F$2)+INDEX('Pro Forma'!$D$9:$M$9,F$2)*(((1+Assumptions!$H$16+$O15)/(1+Assumptions!$H$16))^F$2-1))-IF(Assumptions!$C$37=1,Assumptions!$C$68,IF(Assumptions!$C$37=2,Assumptions!$C$69,IF(F$2&lt;=Assumptions!$C$41,Assumptions!$C$68,Assumptions!$C$69)))-Assumptions!$C$58-IF(Assumptions!$C$28=1,IF(F$2=1,Assumptions!$C$26,0),Assumptions!$C$26/Assumptions!$H$15)-Assumptions!$C$33+IF(F$2=Assumptions!$H$15,(INDEX('Pro Forma'!$D$26:$M$26,Assumptions!$H$15)+INDEX('Pro Forma'!$D$9:$M$9,Assumptions!$H$15)*(((1+Assumptions!$H$16+$O15)/(1+Assumptions!$H$16))^Assumptions!$H$15-1))/IF((Assumptions!$C$22+$P15)=0,1,Assumptions!$C$22+$P15)*(1-Assumptions!$C$23)-INDEX('Debt Schedule'!$C$8:$L$8,Assumptions!$H$15)-INDEX('Debt Schedule'!$C$19:$L$19,Assumptions!$H$15),0))</f>
        <v>0</v>
      </c>
      <c r="G15" s="98" t="n">
        <f aca="false" t="array" ref="G15:G15">IF(G$2&gt;Assumptions!$H$15,0,(INDEX('Pro Forma'!$D$26:$M$26,G$2)+INDEX('Pro Forma'!$D$9:$M$9,G$2)*(((1+Assumptions!$H$16+$O15)/(1+Assumptions!$H$16))^G$2-1))-IF(Assumptions!$C$37=1,Assumptions!$C$68,IF(Assumptions!$C$37=2,Assumptions!$C$69,IF(G$2&lt;=Assumptions!$C$41,Assumptions!$C$68,Assumptions!$C$69)))-Assumptions!$C$58-IF(Assumptions!$C$28=1,IF(G$2=1,Assumptions!$C$26,0),Assumptions!$C$26/Assumptions!$H$15)-Assumptions!$C$33+IF(G$2=Assumptions!$H$15,(INDEX('Pro Forma'!$D$26:$M$26,Assumptions!$H$15)+INDEX('Pro Forma'!$D$9:$M$9,Assumptions!$H$15)*(((1+Assumptions!$H$16+$O15)/(1+Assumptions!$H$16))^Assumptions!$H$15-1))/IF((Assumptions!$C$22+$P15)=0,1,Assumptions!$C$22+$P15)*(1-Assumptions!$C$23)-INDEX('Debt Schedule'!$C$8:$L$8,Assumptions!$H$15)-INDEX('Debt Schedule'!$C$19:$L$19,Assumptions!$H$15),0))</f>
        <v>0</v>
      </c>
      <c r="H15" s="98" t="n">
        <f aca="false" t="array" ref="H15:H15">IF(H$2&gt;Assumptions!$H$15,0,(INDEX('Pro Forma'!$D$26:$M$26,H$2)+INDEX('Pro Forma'!$D$9:$M$9,H$2)*(((1+Assumptions!$H$16+$O15)/(1+Assumptions!$H$16))^H$2-1))-IF(Assumptions!$C$37=1,Assumptions!$C$68,IF(Assumptions!$C$37=2,Assumptions!$C$69,IF(H$2&lt;=Assumptions!$C$41,Assumptions!$C$68,Assumptions!$C$69)))-Assumptions!$C$58-IF(Assumptions!$C$28=1,IF(H$2=1,Assumptions!$C$26,0),Assumptions!$C$26/Assumptions!$H$15)-Assumptions!$C$33+IF(H$2=Assumptions!$H$15,(INDEX('Pro Forma'!$D$26:$M$26,Assumptions!$H$15)+INDEX('Pro Forma'!$D$9:$M$9,Assumptions!$H$15)*(((1+Assumptions!$H$16+$O15)/(1+Assumptions!$H$16))^Assumptions!$H$15-1))/IF((Assumptions!$C$22+$P15)=0,1,Assumptions!$C$22+$P15)*(1-Assumptions!$C$23)-INDEX('Debt Schedule'!$C$8:$L$8,Assumptions!$H$15)-INDEX('Debt Schedule'!$C$19:$L$19,Assumptions!$H$15),0))</f>
        <v>0</v>
      </c>
      <c r="I15" s="98" t="n">
        <f aca="false" t="array" ref="I15:I15">IF(I$2&gt;Assumptions!$H$15,0,(INDEX('Pro Forma'!$D$26:$M$26,I$2)+INDEX('Pro Forma'!$D$9:$M$9,I$2)*(((1+Assumptions!$H$16+$O15)/(1+Assumptions!$H$16))^I$2-1))-IF(Assumptions!$C$37=1,Assumptions!$C$68,IF(Assumptions!$C$37=2,Assumptions!$C$69,IF(I$2&lt;=Assumptions!$C$41,Assumptions!$C$68,Assumptions!$C$69)))-Assumptions!$C$58-IF(Assumptions!$C$28=1,IF(I$2=1,Assumptions!$C$26,0),Assumptions!$C$26/Assumptions!$H$15)-Assumptions!$C$33+IF(I$2=Assumptions!$H$15,(INDEX('Pro Forma'!$D$26:$M$26,Assumptions!$H$15)+INDEX('Pro Forma'!$D$9:$M$9,Assumptions!$H$15)*(((1+Assumptions!$H$16+$O15)/(1+Assumptions!$H$16))^Assumptions!$H$15-1))/IF((Assumptions!$C$22+$P15)=0,1,Assumptions!$C$22+$P15)*(1-Assumptions!$C$23)-INDEX('Debt Schedule'!$C$8:$L$8,Assumptions!$H$15)-INDEX('Debt Schedule'!$C$19:$L$19,Assumptions!$H$15),0))</f>
        <v>0</v>
      </c>
      <c r="J15" s="98" t="n">
        <f aca="false" t="array" ref="J15:J15">IF(J$2&gt;Assumptions!$H$15,0,(INDEX('Pro Forma'!$D$26:$M$26,J$2)+INDEX('Pro Forma'!$D$9:$M$9,J$2)*(((1+Assumptions!$H$16+$O15)/(1+Assumptions!$H$16))^J$2-1))-IF(Assumptions!$C$37=1,Assumptions!$C$68,IF(Assumptions!$C$37=2,Assumptions!$C$69,IF(J$2&lt;=Assumptions!$C$41,Assumptions!$C$68,Assumptions!$C$69)))-Assumptions!$C$58-IF(Assumptions!$C$28=1,IF(J$2=1,Assumptions!$C$26,0),Assumptions!$C$26/Assumptions!$H$15)-Assumptions!$C$33+IF(J$2=Assumptions!$H$15,(INDEX('Pro Forma'!$D$26:$M$26,Assumptions!$H$15)+INDEX('Pro Forma'!$D$9:$M$9,Assumptions!$H$15)*(((1+Assumptions!$H$16+$O15)/(1+Assumptions!$H$16))^Assumptions!$H$15-1))/IF((Assumptions!$C$22+$P15)=0,1,Assumptions!$C$22+$P15)*(1-Assumptions!$C$23)-INDEX('Debt Schedule'!$C$8:$L$8,Assumptions!$H$15)-INDEX('Debt Schedule'!$C$19:$L$19,Assumptions!$H$15),0))</f>
        <v>0</v>
      </c>
      <c r="K15" s="98" t="n">
        <f aca="false" t="array" ref="K15:K15">IF(K$2&gt;Assumptions!$H$15,0,(INDEX('Pro Forma'!$D$26:$M$26,K$2)+INDEX('Pro Forma'!$D$9:$M$9,K$2)*(((1+Assumptions!$H$16+$O15)/(1+Assumptions!$H$16))^K$2-1))-IF(Assumptions!$C$37=1,Assumptions!$C$68,IF(Assumptions!$C$37=2,Assumptions!$C$69,IF(K$2&lt;=Assumptions!$C$41,Assumptions!$C$68,Assumptions!$C$69)))-Assumptions!$C$58-IF(Assumptions!$C$28=1,IF(K$2=1,Assumptions!$C$26,0),Assumptions!$C$26/Assumptions!$H$15)-Assumptions!$C$33+IF(K$2=Assumptions!$H$15,(INDEX('Pro Forma'!$D$26:$M$26,Assumptions!$H$15)+INDEX('Pro Forma'!$D$9:$M$9,Assumptions!$H$15)*(((1+Assumptions!$H$16+$O15)/(1+Assumptions!$H$16))^Assumptions!$H$15-1))/IF((Assumptions!$C$22+$P15)=0,1,Assumptions!$C$22+$P15)*(1-Assumptions!$C$23)-INDEX('Debt Schedule'!$C$8:$L$8,Assumptions!$H$15)-INDEX('Debt Schedule'!$C$19:$L$19,Assumptions!$H$15),0))</f>
        <v>0</v>
      </c>
      <c r="L15" s="98" t="n">
        <f aca="false" t="array" ref="L15:L15">IF(L$2&gt;Assumptions!$H$15,0,(INDEX('Pro Forma'!$D$26:$M$26,L$2)+INDEX('Pro Forma'!$D$9:$M$9,L$2)*(((1+Assumptions!$H$16+$O15)/(1+Assumptions!$H$16))^L$2-1))-IF(Assumptions!$C$37=1,Assumptions!$C$68,IF(Assumptions!$C$37=2,Assumptions!$C$69,IF(L$2&lt;=Assumptions!$C$41,Assumptions!$C$68,Assumptions!$C$69)))-Assumptions!$C$58-IF(Assumptions!$C$28=1,IF(L$2=1,Assumptions!$C$26,0),Assumptions!$C$26/Assumptions!$H$15)-Assumptions!$C$33+IF(L$2=Assumptions!$H$15,(INDEX('Pro Forma'!$D$26:$M$26,Assumptions!$H$15)+INDEX('Pro Forma'!$D$9:$M$9,Assumptions!$H$15)*(((1+Assumptions!$H$16+$O15)/(1+Assumptions!$H$16))^Assumptions!$H$15-1))/IF((Assumptions!$C$22+$P15)=0,1,Assumptions!$C$22+$P15)*(1-Assumptions!$C$23)-INDEX('Debt Schedule'!$C$8:$L$8,Assumptions!$H$15)-INDEX('Debt Schedule'!$C$19:$L$19,Assumptions!$H$15),0))</f>
        <v>0</v>
      </c>
      <c r="M15" s="98" t="n">
        <f aca="false" t="array" ref="M15:M15">IF(M$2&gt;Assumptions!$H$15,0,(INDEX('Pro Forma'!$D$26:$M$26,M$2)+INDEX('Pro Forma'!$D$9:$M$9,M$2)*(((1+Assumptions!$H$16+$O15)/(1+Assumptions!$H$16))^M$2-1))-IF(Assumptions!$C$37=1,Assumptions!$C$68,IF(Assumptions!$C$37=2,Assumptions!$C$69,IF(M$2&lt;=Assumptions!$C$41,Assumptions!$C$68,Assumptions!$C$69)))-Assumptions!$C$58-IF(Assumptions!$C$28=1,IF(M$2=1,Assumptions!$C$26,0),Assumptions!$C$26/Assumptions!$H$15)-Assumptions!$C$33+IF(M$2=Assumptions!$H$15,(INDEX('Pro Forma'!$D$26:$M$26,Assumptions!$H$15)+INDEX('Pro Forma'!$D$9:$M$9,Assumptions!$H$15)*(((1+Assumptions!$H$16+$O15)/(1+Assumptions!$H$16))^Assumptions!$H$15-1))/IF((Assumptions!$C$22+$P15)=0,1,Assumptions!$C$22+$P15)*(1-Assumptions!$C$23)-INDEX('Debt Schedule'!$C$8:$L$8,Assumptions!$H$15)-INDEX('Debt Schedule'!$C$19:$L$19,Assumptions!$H$15),0))</f>
        <v>0</v>
      </c>
      <c r="N15" s="99" t="n">
        <f aca="false">IFERROR(IRR(C15:M15),0)</f>
        <v>0</v>
      </c>
      <c r="O15" s="100" t="n">
        <f aca="false">(MOD(ROW()-3,5)-2)*0.005</f>
        <v>0</v>
      </c>
      <c r="P15" s="100" t="n">
        <f aca="false">(INT((ROW()-3)/5)-2)*0.0025</f>
        <v>0</v>
      </c>
    </row>
    <row r="16" customFormat="false" ht="15" hidden="false" customHeight="true" outlineLevel="0" collapsed="false">
      <c r="C16" s="98" t="n">
        <f aca="false">-Assumptions!$C$70</f>
        <v>-0</v>
      </c>
      <c r="D16" s="98" t="n">
        <f aca="false" t="array" ref="D16:D16">IF(D$2&gt;Assumptions!$H$15,0,(INDEX('Pro Forma'!$D$26:$M$26,D$2)+INDEX('Pro Forma'!$D$9:$M$9,D$2)*(((1+Assumptions!$H$16+$O16)/(1+Assumptions!$H$16))^D$2-1))-IF(Assumptions!$C$37=1,Assumptions!$C$68,IF(Assumptions!$C$37=2,Assumptions!$C$69,IF(D$2&lt;=Assumptions!$C$41,Assumptions!$C$68,Assumptions!$C$69)))-Assumptions!$C$58-IF(Assumptions!$C$28=1,IF(D$2=1,Assumptions!$C$26,0),Assumptions!$C$26/Assumptions!$H$15)-Assumptions!$C$33+IF(D$2=Assumptions!$H$15,(INDEX('Pro Forma'!$D$26:$M$26,Assumptions!$H$15)+INDEX('Pro Forma'!$D$9:$M$9,Assumptions!$H$15)*(((1+Assumptions!$H$16+$O16)/(1+Assumptions!$H$16))^Assumptions!$H$15-1))/IF((Assumptions!$C$22+$P16)=0,1,Assumptions!$C$22+$P16)*(1-Assumptions!$C$23)-INDEX('Debt Schedule'!$C$8:$L$8,Assumptions!$H$15)-INDEX('Debt Schedule'!$C$19:$L$19,Assumptions!$H$15),0))</f>
        <v>0</v>
      </c>
      <c r="E16" s="98" t="n">
        <f aca="false" t="array" ref="E16:E16">IF(E$2&gt;Assumptions!$H$15,0,(INDEX('Pro Forma'!$D$26:$M$26,E$2)+INDEX('Pro Forma'!$D$9:$M$9,E$2)*(((1+Assumptions!$H$16+$O16)/(1+Assumptions!$H$16))^E$2-1))-IF(Assumptions!$C$37=1,Assumptions!$C$68,IF(Assumptions!$C$37=2,Assumptions!$C$69,IF(E$2&lt;=Assumptions!$C$41,Assumptions!$C$68,Assumptions!$C$69)))-Assumptions!$C$58-IF(Assumptions!$C$28=1,IF(E$2=1,Assumptions!$C$26,0),Assumptions!$C$26/Assumptions!$H$15)-Assumptions!$C$33+IF(E$2=Assumptions!$H$15,(INDEX('Pro Forma'!$D$26:$M$26,Assumptions!$H$15)+INDEX('Pro Forma'!$D$9:$M$9,Assumptions!$H$15)*(((1+Assumptions!$H$16+$O16)/(1+Assumptions!$H$16))^Assumptions!$H$15-1))/IF((Assumptions!$C$22+$P16)=0,1,Assumptions!$C$22+$P16)*(1-Assumptions!$C$23)-INDEX('Debt Schedule'!$C$8:$L$8,Assumptions!$H$15)-INDEX('Debt Schedule'!$C$19:$L$19,Assumptions!$H$15),0))</f>
        <v>0</v>
      </c>
      <c r="F16" s="98" t="n">
        <f aca="false" t="array" ref="F16:F16">IF(F$2&gt;Assumptions!$H$15,0,(INDEX('Pro Forma'!$D$26:$M$26,F$2)+INDEX('Pro Forma'!$D$9:$M$9,F$2)*(((1+Assumptions!$H$16+$O16)/(1+Assumptions!$H$16))^F$2-1))-IF(Assumptions!$C$37=1,Assumptions!$C$68,IF(Assumptions!$C$37=2,Assumptions!$C$69,IF(F$2&lt;=Assumptions!$C$41,Assumptions!$C$68,Assumptions!$C$69)))-Assumptions!$C$58-IF(Assumptions!$C$28=1,IF(F$2=1,Assumptions!$C$26,0),Assumptions!$C$26/Assumptions!$H$15)-Assumptions!$C$33+IF(F$2=Assumptions!$H$15,(INDEX('Pro Forma'!$D$26:$M$26,Assumptions!$H$15)+INDEX('Pro Forma'!$D$9:$M$9,Assumptions!$H$15)*(((1+Assumptions!$H$16+$O16)/(1+Assumptions!$H$16))^Assumptions!$H$15-1))/IF((Assumptions!$C$22+$P16)=0,1,Assumptions!$C$22+$P16)*(1-Assumptions!$C$23)-INDEX('Debt Schedule'!$C$8:$L$8,Assumptions!$H$15)-INDEX('Debt Schedule'!$C$19:$L$19,Assumptions!$H$15),0))</f>
        <v>0</v>
      </c>
      <c r="G16" s="98" t="n">
        <f aca="false" t="array" ref="G16:G16">IF(G$2&gt;Assumptions!$H$15,0,(INDEX('Pro Forma'!$D$26:$M$26,G$2)+INDEX('Pro Forma'!$D$9:$M$9,G$2)*(((1+Assumptions!$H$16+$O16)/(1+Assumptions!$H$16))^G$2-1))-IF(Assumptions!$C$37=1,Assumptions!$C$68,IF(Assumptions!$C$37=2,Assumptions!$C$69,IF(G$2&lt;=Assumptions!$C$41,Assumptions!$C$68,Assumptions!$C$69)))-Assumptions!$C$58-IF(Assumptions!$C$28=1,IF(G$2=1,Assumptions!$C$26,0),Assumptions!$C$26/Assumptions!$H$15)-Assumptions!$C$33+IF(G$2=Assumptions!$H$15,(INDEX('Pro Forma'!$D$26:$M$26,Assumptions!$H$15)+INDEX('Pro Forma'!$D$9:$M$9,Assumptions!$H$15)*(((1+Assumptions!$H$16+$O16)/(1+Assumptions!$H$16))^Assumptions!$H$15-1))/IF((Assumptions!$C$22+$P16)=0,1,Assumptions!$C$22+$P16)*(1-Assumptions!$C$23)-INDEX('Debt Schedule'!$C$8:$L$8,Assumptions!$H$15)-INDEX('Debt Schedule'!$C$19:$L$19,Assumptions!$H$15),0))</f>
        <v>0</v>
      </c>
      <c r="H16" s="98" t="n">
        <f aca="false" t="array" ref="H16:H16">IF(H$2&gt;Assumptions!$H$15,0,(INDEX('Pro Forma'!$D$26:$M$26,H$2)+INDEX('Pro Forma'!$D$9:$M$9,H$2)*(((1+Assumptions!$H$16+$O16)/(1+Assumptions!$H$16))^H$2-1))-IF(Assumptions!$C$37=1,Assumptions!$C$68,IF(Assumptions!$C$37=2,Assumptions!$C$69,IF(H$2&lt;=Assumptions!$C$41,Assumptions!$C$68,Assumptions!$C$69)))-Assumptions!$C$58-IF(Assumptions!$C$28=1,IF(H$2=1,Assumptions!$C$26,0),Assumptions!$C$26/Assumptions!$H$15)-Assumptions!$C$33+IF(H$2=Assumptions!$H$15,(INDEX('Pro Forma'!$D$26:$M$26,Assumptions!$H$15)+INDEX('Pro Forma'!$D$9:$M$9,Assumptions!$H$15)*(((1+Assumptions!$H$16+$O16)/(1+Assumptions!$H$16))^Assumptions!$H$15-1))/IF((Assumptions!$C$22+$P16)=0,1,Assumptions!$C$22+$P16)*(1-Assumptions!$C$23)-INDEX('Debt Schedule'!$C$8:$L$8,Assumptions!$H$15)-INDEX('Debt Schedule'!$C$19:$L$19,Assumptions!$H$15),0))</f>
        <v>0</v>
      </c>
      <c r="I16" s="98" t="n">
        <f aca="false" t="array" ref="I16:I16">IF(I$2&gt;Assumptions!$H$15,0,(INDEX('Pro Forma'!$D$26:$M$26,I$2)+INDEX('Pro Forma'!$D$9:$M$9,I$2)*(((1+Assumptions!$H$16+$O16)/(1+Assumptions!$H$16))^I$2-1))-IF(Assumptions!$C$37=1,Assumptions!$C$68,IF(Assumptions!$C$37=2,Assumptions!$C$69,IF(I$2&lt;=Assumptions!$C$41,Assumptions!$C$68,Assumptions!$C$69)))-Assumptions!$C$58-IF(Assumptions!$C$28=1,IF(I$2=1,Assumptions!$C$26,0),Assumptions!$C$26/Assumptions!$H$15)-Assumptions!$C$33+IF(I$2=Assumptions!$H$15,(INDEX('Pro Forma'!$D$26:$M$26,Assumptions!$H$15)+INDEX('Pro Forma'!$D$9:$M$9,Assumptions!$H$15)*(((1+Assumptions!$H$16+$O16)/(1+Assumptions!$H$16))^Assumptions!$H$15-1))/IF((Assumptions!$C$22+$P16)=0,1,Assumptions!$C$22+$P16)*(1-Assumptions!$C$23)-INDEX('Debt Schedule'!$C$8:$L$8,Assumptions!$H$15)-INDEX('Debt Schedule'!$C$19:$L$19,Assumptions!$H$15),0))</f>
        <v>0</v>
      </c>
      <c r="J16" s="98" t="n">
        <f aca="false" t="array" ref="J16:J16">IF(J$2&gt;Assumptions!$H$15,0,(INDEX('Pro Forma'!$D$26:$M$26,J$2)+INDEX('Pro Forma'!$D$9:$M$9,J$2)*(((1+Assumptions!$H$16+$O16)/(1+Assumptions!$H$16))^J$2-1))-IF(Assumptions!$C$37=1,Assumptions!$C$68,IF(Assumptions!$C$37=2,Assumptions!$C$69,IF(J$2&lt;=Assumptions!$C$41,Assumptions!$C$68,Assumptions!$C$69)))-Assumptions!$C$58-IF(Assumptions!$C$28=1,IF(J$2=1,Assumptions!$C$26,0),Assumptions!$C$26/Assumptions!$H$15)-Assumptions!$C$33+IF(J$2=Assumptions!$H$15,(INDEX('Pro Forma'!$D$26:$M$26,Assumptions!$H$15)+INDEX('Pro Forma'!$D$9:$M$9,Assumptions!$H$15)*(((1+Assumptions!$H$16+$O16)/(1+Assumptions!$H$16))^Assumptions!$H$15-1))/IF((Assumptions!$C$22+$P16)=0,1,Assumptions!$C$22+$P16)*(1-Assumptions!$C$23)-INDEX('Debt Schedule'!$C$8:$L$8,Assumptions!$H$15)-INDEX('Debt Schedule'!$C$19:$L$19,Assumptions!$H$15),0))</f>
        <v>0</v>
      </c>
      <c r="K16" s="98" t="n">
        <f aca="false" t="array" ref="K16:K16">IF(K$2&gt;Assumptions!$H$15,0,(INDEX('Pro Forma'!$D$26:$M$26,K$2)+INDEX('Pro Forma'!$D$9:$M$9,K$2)*(((1+Assumptions!$H$16+$O16)/(1+Assumptions!$H$16))^K$2-1))-IF(Assumptions!$C$37=1,Assumptions!$C$68,IF(Assumptions!$C$37=2,Assumptions!$C$69,IF(K$2&lt;=Assumptions!$C$41,Assumptions!$C$68,Assumptions!$C$69)))-Assumptions!$C$58-IF(Assumptions!$C$28=1,IF(K$2=1,Assumptions!$C$26,0),Assumptions!$C$26/Assumptions!$H$15)-Assumptions!$C$33+IF(K$2=Assumptions!$H$15,(INDEX('Pro Forma'!$D$26:$M$26,Assumptions!$H$15)+INDEX('Pro Forma'!$D$9:$M$9,Assumptions!$H$15)*(((1+Assumptions!$H$16+$O16)/(1+Assumptions!$H$16))^Assumptions!$H$15-1))/IF((Assumptions!$C$22+$P16)=0,1,Assumptions!$C$22+$P16)*(1-Assumptions!$C$23)-INDEX('Debt Schedule'!$C$8:$L$8,Assumptions!$H$15)-INDEX('Debt Schedule'!$C$19:$L$19,Assumptions!$H$15),0))</f>
        <v>0</v>
      </c>
      <c r="L16" s="98" t="n">
        <f aca="false" t="array" ref="L16:L16">IF(L$2&gt;Assumptions!$H$15,0,(INDEX('Pro Forma'!$D$26:$M$26,L$2)+INDEX('Pro Forma'!$D$9:$M$9,L$2)*(((1+Assumptions!$H$16+$O16)/(1+Assumptions!$H$16))^L$2-1))-IF(Assumptions!$C$37=1,Assumptions!$C$68,IF(Assumptions!$C$37=2,Assumptions!$C$69,IF(L$2&lt;=Assumptions!$C$41,Assumptions!$C$68,Assumptions!$C$69)))-Assumptions!$C$58-IF(Assumptions!$C$28=1,IF(L$2=1,Assumptions!$C$26,0),Assumptions!$C$26/Assumptions!$H$15)-Assumptions!$C$33+IF(L$2=Assumptions!$H$15,(INDEX('Pro Forma'!$D$26:$M$26,Assumptions!$H$15)+INDEX('Pro Forma'!$D$9:$M$9,Assumptions!$H$15)*(((1+Assumptions!$H$16+$O16)/(1+Assumptions!$H$16))^Assumptions!$H$15-1))/IF((Assumptions!$C$22+$P16)=0,1,Assumptions!$C$22+$P16)*(1-Assumptions!$C$23)-INDEX('Debt Schedule'!$C$8:$L$8,Assumptions!$H$15)-INDEX('Debt Schedule'!$C$19:$L$19,Assumptions!$H$15),0))</f>
        <v>0</v>
      </c>
      <c r="M16" s="98" t="n">
        <f aca="false" t="array" ref="M16:M16">IF(M$2&gt;Assumptions!$H$15,0,(INDEX('Pro Forma'!$D$26:$M$26,M$2)+INDEX('Pro Forma'!$D$9:$M$9,M$2)*(((1+Assumptions!$H$16+$O16)/(1+Assumptions!$H$16))^M$2-1))-IF(Assumptions!$C$37=1,Assumptions!$C$68,IF(Assumptions!$C$37=2,Assumptions!$C$69,IF(M$2&lt;=Assumptions!$C$41,Assumptions!$C$68,Assumptions!$C$69)))-Assumptions!$C$58-IF(Assumptions!$C$28=1,IF(M$2=1,Assumptions!$C$26,0),Assumptions!$C$26/Assumptions!$H$15)-Assumptions!$C$33+IF(M$2=Assumptions!$H$15,(INDEX('Pro Forma'!$D$26:$M$26,Assumptions!$H$15)+INDEX('Pro Forma'!$D$9:$M$9,Assumptions!$H$15)*(((1+Assumptions!$H$16+$O16)/(1+Assumptions!$H$16))^Assumptions!$H$15-1))/IF((Assumptions!$C$22+$P16)=0,1,Assumptions!$C$22+$P16)*(1-Assumptions!$C$23)-INDEX('Debt Schedule'!$C$8:$L$8,Assumptions!$H$15)-INDEX('Debt Schedule'!$C$19:$L$19,Assumptions!$H$15),0))</f>
        <v>0</v>
      </c>
      <c r="N16" s="99" t="n">
        <f aca="false">IFERROR(IRR(C16:M16),0)</f>
        <v>0</v>
      </c>
      <c r="O16" s="100" t="n">
        <f aca="false">(MOD(ROW()-3,5)-2)*0.005</f>
        <v>0.005</v>
      </c>
      <c r="P16" s="100" t="n">
        <f aca="false">(INT((ROW()-3)/5)-2)*0.0025</f>
        <v>0</v>
      </c>
    </row>
    <row r="17" customFormat="false" ht="15" hidden="false" customHeight="true" outlineLevel="0" collapsed="false">
      <c r="C17" s="98" t="n">
        <f aca="false">-Assumptions!$C$70</f>
        <v>-0</v>
      </c>
      <c r="D17" s="98" t="n">
        <f aca="false" t="array" ref="D17:D17">IF(D$2&gt;Assumptions!$H$15,0,(INDEX('Pro Forma'!$D$26:$M$26,D$2)+INDEX('Pro Forma'!$D$9:$M$9,D$2)*(((1+Assumptions!$H$16+$O17)/(1+Assumptions!$H$16))^D$2-1))-IF(Assumptions!$C$37=1,Assumptions!$C$68,IF(Assumptions!$C$37=2,Assumptions!$C$69,IF(D$2&lt;=Assumptions!$C$41,Assumptions!$C$68,Assumptions!$C$69)))-Assumptions!$C$58-IF(Assumptions!$C$28=1,IF(D$2=1,Assumptions!$C$26,0),Assumptions!$C$26/Assumptions!$H$15)-Assumptions!$C$33+IF(D$2=Assumptions!$H$15,(INDEX('Pro Forma'!$D$26:$M$26,Assumptions!$H$15)+INDEX('Pro Forma'!$D$9:$M$9,Assumptions!$H$15)*(((1+Assumptions!$H$16+$O17)/(1+Assumptions!$H$16))^Assumptions!$H$15-1))/IF((Assumptions!$C$22+$P17)=0,1,Assumptions!$C$22+$P17)*(1-Assumptions!$C$23)-INDEX('Debt Schedule'!$C$8:$L$8,Assumptions!$H$15)-INDEX('Debt Schedule'!$C$19:$L$19,Assumptions!$H$15),0))</f>
        <v>0</v>
      </c>
      <c r="E17" s="98" t="n">
        <f aca="false" t="array" ref="E17:E17">IF(E$2&gt;Assumptions!$H$15,0,(INDEX('Pro Forma'!$D$26:$M$26,E$2)+INDEX('Pro Forma'!$D$9:$M$9,E$2)*(((1+Assumptions!$H$16+$O17)/(1+Assumptions!$H$16))^E$2-1))-IF(Assumptions!$C$37=1,Assumptions!$C$68,IF(Assumptions!$C$37=2,Assumptions!$C$69,IF(E$2&lt;=Assumptions!$C$41,Assumptions!$C$68,Assumptions!$C$69)))-Assumptions!$C$58-IF(Assumptions!$C$28=1,IF(E$2=1,Assumptions!$C$26,0),Assumptions!$C$26/Assumptions!$H$15)-Assumptions!$C$33+IF(E$2=Assumptions!$H$15,(INDEX('Pro Forma'!$D$26:$M$26,Assumptions!$H$15)+INDEX('Pro Forma'!$D$9:$M$9,Assumptions!$H$15)*(((1+Assumptions!$H$16+$O17)/(1+Assumptions!$H$16))^Assumptions!$H$15-1))/IF((Assumptions!$C$22+$P17)=0,1,Assumptions!$C$22+$P17)*(1-Assumptions!$C$23)-INDEX('Debt Schedule'!$C$8:$L$8,Assumptions!$H$15)-INDEX('Debt Schedule'!$C$19:$L$19,Assumptions!$H$15),0))</f>
        <v>0</v>
      </c>
      <c r="F17" s="98" t="n">
        <f aca="false" t="array" ref="F17:F17">IF(F$2&gt;Assumptions!$H$15,0,(INDEX('Pro Forma'!$D$26:$M$26,F$2)+INDEX('Pro Forma'!$D$9:$M$9,F$2)*(((1+Assumptions!$H$16+$O17)/(1+Assumptions!$H$16))^F$2-1))-IF(Assumptions!$C$37=1,Assumptions!$C$68,IF(Assumptions!$C$37=2,Assumptions!$C$69,IF(F$2&lt;=Assumptions!$C$41,Assumptions!$C$68,Assumptions!$C$69)))-Assumptions!$C$58-IF(Assumptions!$C$28=1,IF(F$2=1,Assumptions!$C$26,0),Assumptions!$C$26/Assumptions!$H$15)-Assumptions!$C$33+IF(F$2=Assumptions!$H$15,(INDEX('Pro Forma'!$D$26:$M$26,Assumptions!$H$15)+INDEX('Pro Forma'!$D$9:$M$9,Assumptions!$H$15)*(((1+Assumptions!$H$16+$O17)/(1+Assumptions!$H$16))^Assumptions!$H$15-1))/IF((Assumptions!$C$22+$P17)=0,1,Assumptions!$C$22+$P17)*(1-Assumptions!$C$23)-INDEX('Debt Schedule'!$C$8:$L$8,Assumptions!$H$15)-INDEX('Debt Schedule'!$C$19:$L$19,Assumptions!$H$15),0))</f>
        <v>0</v>
      </c>
      <c r="G17" s="98" t="n">
        <f aca="false" t="array" ref="G17:G17">IF(G$2&gt;Assumptions!$H$15,0,(INDEX('Pro Forma'!$D$26:$M$26,G$2)+INDEX('Pro Forma'!$D$9:$M$9,G$2)*(((1+Assumptions!$H$16+$O17)/(1+Assumptions!$H$16))^G$2-1))-IF(Assumptions!$C$37=1,Assumptions!$C$68,IF(Assumptions!$C$37=2,Assumptions!$C$69,IF(G$2&lt;=Assumptions!$C$41,Assumptions!$C$68,Assumptions!$C$69)))-Assumptions!$C$58-IF(Assumptions!$C$28=1,IF(G$2=1,Assumptions!$C$26,0),Assumptions!$C$26/Assumptions!$H$15)-Assumptions!$C$33+IF(G$2=Assumptions!$H$15,(INDEX('Pro Forma'!$D$26:$M$26,Assumptions!$H$15)+INDEX('Pro Forma'!$D$9:$M$9,Assumptions!$H$15)*(((1+Assumptions!$H$16+$O17)/(1+Assumptions!$H$16))^Assumptions!$H$15-1))/IF((Assumptions!$C$22+$P17)=0,1,Assumptions!$C$22+$P17)*(1-Assumptions!$C$23)-INDEX('Debt Schedule'!$C$8:$L$8,Assumptions!$H$15)-INDEX('Debt Schedule'!$C$19:$L$19,Assumptions!$H$15),0))</f>
        <v>0</v>
      </c>
      <c r="H17" s="98" t="n">
        <f aca="false" t="array" ref="H17:H17">IF(H$2&gt;Assumptions!$H$15,0,(INDEX('Pro Forma'!$D$26:$M$26,H$2)+INDEX('Pro Forma'!$D$9:$M$9,H$2)*(((1+Assumptions!$H$16+$O17)/(1+Assumptions!$H$16))^H$2-1))-IF(Assumptions!$C$37=1,Assumptions!$C$68,IF(Assumptions!$C$37=2,Assumptions!$C$69,IF(H$2&lt;=Assumptions!$C$41,Assumptions!$C$68,Assumptions!$C$69)))-Assumptions!$C$58-IF(Assumptions!$C$28=1,IF(H$2=1,Assumptions!$C$26,0),Assumptions!$C$26/Assumptions!$H$15)-Assumptions!$C$33+IF(H$2=Assumptions!$H$15,(INDEX('Pro Forma'!$D$26:$M$26,Assumptions!$H$15)+INDEX('Pro Forma'!$D$9:$M$9,Assumptions!$H$15)*(((1+Assumptions!$H$16+$O17)/(1+Assumptions!$H$16))^Assumptions!$H$15-1))/IF((Assumptions!$C$22+$P17)=0,1,Assumptions!$C$22+$P17)*(1-Assumptions!$C$23)-INDEX('Debt Schedule'!$C$8:$L$8,Assumptions!$H$15)-INDEX('Debt Schedule'!$C$19:$L$19,Assumptions!$H$15),0))</f>
        <v>0</v>
      </c>
      <c r="I17" s="98" t="n">
        <f aca="false" t="array" ref="I17:I17">IF(I$2&gt;Assumptions!$H$15,0,(INDEX('Pro Forma'!$D$26:$M$26,I$2)+INDEX('Pro Forma'!$D$9:$M$9,I$2)*(((1+Assumptions!$H$16+$O17)/(1+Assumptions!$H$16))^I$2-1))-IF(Assumptions!$C$37=1,Assumptions!$C$68,IF(Assumptions!$C$37=2,Assumptions!$C$69,IF(I$2&lt;=Assumptions!$C$41,Assumptions!$C$68,Assumptions!$C$69)))-Assumptions!$C$58-IF(Assumptions!$C$28=1,IF(I$2=1,Assumptions!$C$26,0),Assumptions!$C$26/Assumptions!$H$15)-Assumptions!$C$33+IF(I$2=Assumptions!$H$15,(INDEX('Pro Forma'!$D$26:$M$26,Assumptions!$H$15)+INDEX('Pro Forma'!$D$9:$M$9,Assumptions!$H$15)*(((1+Assumptions!$H$16+$O17)/(1+Assumptions!$H$16))^Assumptions!$H$15-1))/IF((Assumptions!$C$22+$P17)=0,1,Assumptions!$C$22+$P17)*(1-Assumptions!$C$23)-INDEX('Debt Schedule'!$C$8:$L$8,Assumptions!$H$15)-INDEX('Debt Schedule'!$C$19:$L$19,Assumptions!$H$15),0))</f>
        <v>0</v>
      </c>
      <c r="J17" s="98" t="n">
        <f aca="false" t="array" ref="J17:J17">IF(J$2&gt;Assumptions!$H$15,0,(INDEX('Pro Forma'!$D$26:$M$26,J$2)+INDEX('Pro Forma'!$D$9:$M$9,J$2)*(((1+Assumptions!$H$16+$O17)/(1+Assumptions!$H$16))^J$2-1))-IF(Assumptions!$C$37=1,Assumptions!$C$68,IF(Assumptions!$C$37=2,Assumptions!$C$69,IF(J$2&lt;=Assumptions!$C$41,Assumptions!$C$68,Assumptions!$C$69)))-Assumptions!$C$58-IF(Assumptions!$C$28=1,IF(J$2=1,Assumptions!$C$26,0),Assumptions!$C$26/Assumptions!$H$15)-Assumptions!$C$33+IF(J$2=Assumptions!$H$15,(INDEX('Pro Forma'!$D$26:$M$26,Assumptions!$H$15)+INDEX('Pro Forma'!$D$9:$M$9,Assumptions!$H$15)*(((1+Assumptions!$H$16+$O17)/(1+Assumptions!$H$16))^Assumptions!$H$15-1))/IF((Assumptions!$C$22+$P17)=0,1,Assumptions!$C$22+$P17)*(1-Assumptions!$C$23)-INDEX('Debt Schedule'!$C$8:$L$8,Assumptions!$H$15)-INDEX('Debt Schedule'!$C$19:$L$19,Assumptions!$H$15),0))</f>
        <v>0</v>
      </c>
      <c r="K17" s="98" t="n">
        <f aca="false" t="array" ref="K17:K17">IF(K$2&gt;Assumptions!$H$15,0,(INDEX('Pro Forma'!$D$26:$M$26,K$2)+INDEX('Pro Forma'!$D$9:$M$9,K$2)*(((1+Assumptions!$H$16+$O17)/(1+Assumptions!$H$16))^K$2-1))-IF(Assumptions!$C$37=1,Assumptions!$C$68,IF(Assumptions!$C$37=2,Assumptions!$C$69,IF(K$2&lt;=Assumptions!$C$41,Assumptions!$C$68,Assumptions!$C$69)))-Assumptions!$C$58-IF(Assumptions!$C$28=1,IF(K$2=1,Assumptions!$C$26,0),Assumptions!$C$26/Assumptions!$H$15)-Assumptions!$C$33+IF(K$2=Assumptions!$H$15,(INDEX('Pro Forma'!$D$26:$M$26,Assumptions!$H$15)+INDEX('Pro Forma'!$D$9:$M$9,Assumptions!$H$15)*(((1+Assumptions!$H$16+$O17)/(1+Assumptions!$H$16))^Assumptions!$H$15-1))/IF((Assumptions!$C$22+$P17)=0,1,Assumptions!$C$22+$P17)*(1-Assumptions!$C$23)-INDEX('Debt Schedule'!$C$8:$L$8,Assumptions!$H$15)-INDEX('Debt Schedule'!$C$19:$L$19,Assumptions!$H$15),0))</f>
        <v>0</v>
      </c>
      <c r="L17" s="98" t="n">
        <f aca="false" t="array" ref="L17:L17">IF(L$2&gt;Assumptions!$H$15,0,(INDEX('Pro Forma'!$D$26:$M$26,L$2)+INDEX('Pro Forma'!$D$9:$M$9,L$2)*(((1+Assumptions!$H$16+$O17)/(1+Assumptions!$H$16))^L$2-1))-IF(Assumptions!$C$37=1,Assumptions!$C$68,IF(Assumptions!$C$37=2,Assumptions!$C$69,IF(L$2&lt;=Assumptions!$C$41,Assumptions!$C$68,Assumptions!$C$69)))-Assumptions!$C$58-IF(Assumptions!$C$28=1,IF(L$2=1,Assumptions!$C$26,0),Assumptions!$C$26/Assumptions!$H$15)-Assumptions!$C$33+IF(L$2=Assumptions!$H$15,(INDEX('Pro Forma'!$D$26:$M$26,Assumptions!$H$15)+INDEX('Pro Forma'!$D$9:$M$9,Assumptions!$H$15)*(((1+Assumptions!$H$16+$O17)/(1+Assumptions!$H$16))^Assumptions!$H$15-1))/IF((Assumptions!$C$22+$P17)=0,1,Assumptions!$C$22+$P17)*(1-Assumptions!$C$23)-INDEX('Debt Schedule'!$C$8:$L$8,Assumptions!$H$15)-INDEX('Debt Schedule'!$C$19:$L$19,Assumptions!$H$15),0))</f>
        <v>0</v>
      </c>
      <c r="M17" s="98" t="n">
        <f aca="false" t="array" ref="M17:M17">IF(M$2&gt;Assumptions!$H$15,0,(INDEX('Pro Forma'!$D$26:$M$26,M$2)+INDEX('Pro Forma'!$D$9:$M$9,M$2)*(((1+Assumptions!$H$16+$O17)/(1+Assumptions!$H$16))^M$2-1))-IF(Assumptions!$C$37=1,Assumptions!$C$68,IF(Assumptions!$C$37=2,Assumptions!$C$69,IF(M$2&lt;=Assumptions!$C$41,Assumptions!$C$68,Assumptions!$C$69)))-Assumptions!$C$58-IF(Assumptions!$C$28=1,IF(M$2=1,Assumptions!$C$26,0),Assumptions!$C$26/Assumptions!$H$15)-Assumptions!$C$33+IF(M$2=Assumptions!$H$15,(INDEX('Pro Forma'!$D$26:$M$26,Assumptions!$H$15)+INDEX('Pro Forma'!$D$9:$M$9,Assumptions!$H$15)*(((1+Assumptions!$H$16+$O17)/(1+Assumptions!$H$16))^Assumptions!$H$15-1))/IF((Assumptions!$C$22+$P17)=0,1,Assumptions!$C$22+$P17)*(1-Assumptions!$C$23)-INDEX('Debt Schedule'!$C$8:$L$8,Assumptions!$H$15)-INDEX('Debt Schedule'!$C$19:$L$19,Assumptions!$H$15),0))</f>
        <v>0</v>
      </c>
      <c r="N17" s="99" t="n">
        <f aca="false">IFERROR(IRR(C17:M17),0)</f>
        <v>0</v>
      </c>
      <c r="O17" s="100" t="n">
        <f aca="false">(MOD(ROW()-3,5)-2)*0.005</f>
        <v>0.01</v>
      </c>
      <c r="P17" s="100" t="n">
        <f aca="false">(INT((ROW()-3)/5)-2)*0.0025</f>
        <v>0</v>
      </c>
    </row>
    <row r="18" customFormat="false" ht="15" hidden="false" customHeight="true" outlineLevel="0" collapsed="false">
      <c r="C18" s="98" t="n">
        <f aca="false">-Assumptions!$C$70</f>
        <v>-0</v>
      </c>
      <c r="D18" s="98" t="n">
        <f aca="false" t="array" ref="D18:D18">IF(D$2&gt;Assumptions!$H$15,0,(INDEX('Pro Forma'!$D$26:$M$26,D$2)+INDEX('Pro Forma'!$D$9:$M$9,D$2)*(((1+Assumptions!$H$16+$O18)/(1+Assumptions!$H$16))^D$2-1))-IF(Assumptions!$C$37=1,Assumptions!$C$68,IF(Assumptions!$C$37=2,Assumptions!$C$69,IF(D$2&lt;=Assumptions!$C$41,Assumptions!$C$68,Assumptions!$C$69)))-Assumptions!$C$58-IF(Assumptions!$C$28=1,IF(D$2=1,Assumptions!$C$26,0),Assumptions!$C$26/Assumptions!$H$15)-Assumptions!$C$33+IF(D$2=Assumptions!$H$15,(INDEX('Pro Forma'!$D$26:$M$26,Assumptions!$H$15)+INDEX('Pro Forma'!$D$9:$M$9,Assumptions!$H$15)*(((1+Assumptions!$H$16+$O18)/(1+Assumptions!$H$16))^Assumptions!$H$15-1))/IF((Assumptions!$C$22+$P18)=0,1,Assumptions!$C$22+$P18)*(1-Assumptions!$C$23)-INDEX('Debt Schedule'!$C$8:$L$8,Assumptions!$H$15)-INDEX('Debt Schedule'!$C$19:$L$19,Assumptions!$H$15),0))</f>
        <v>0</v>
      </c>
      <c r="E18" s="98" t="n">
        <f aca="false" t="array" ref="E18:E18">IF(E$2&gt;Assumptions!$H$15,0,(INDEX('Pro Forma'!$D$26:$M$26,E$2)+INDEX('Pro Forma'!$D$9:$M$9,E$2)*(((1+Assumptions!$H$16+$O18)/(1+Assumptions!$H$16))^E$2-1))-IF(Assumptions!$C$37=1,Assumptions!$C$68,IF(Assumptions!$C$37=2,Assumptions!$C$69,IF(E$2&lt;=Assumptions!$C$41,Assumptions!$C$68,Assumptions!$C$69)))-Assumptions!$C$58-IF(Assumptions!$C$28=1,IF(E$2=1,Assumptions!$C$26,0),Assumptions!$C$26/Assumptions!$H$15)-Assumptions!$C$33+IF(E$2=Assumptions!$H$15,(INDEX('Pro Forma'!$D$26:$M$26,Assumptions!$H$15)+INDEX('Pro Forma'!$D$9:$M$9,Assumptions!$H$15)*(((1+Assumptions!$H$16+$O18)/(1+Assumptions!$H$16))^Assumptions!$H$15-1))/IF((Assumptions!$C$22+$P18)=0,1,Assumptions!$C$22+$P18)*(1-Assumptions!$C$23)-INDEX('Debt Schedule'!$C$8:$L$8,Assumptions!$H$15)-INDEX('Debt Schedule'!$C$19:$L$19,Assumptions!$H$15),0))</f>
        <v>0</v>
      </c>
      <c r="F18" s="98" t="n">
        <f aca="false" t="array" ref="F18:F18">IF(F$2&gt;Assumptions!$H$15,0,(INDEX('Pro Forma'!$D$26:$M$26,F$2)+INDEX('Pro Forma'!$D$9:$M$9,F$2)*(((1+Assumptions!$H$16+$O18)/(1+Assumptions!$H$16))^F$2-1))-IF(Assumptions!$C$37=1,Assumptions!$C$68,IF(Assumptions!$C$37=2,Assumptions!$C$69,IF(F$2&lt;=Assumptions!$C$41,Assumptions!$C$68,Assumptions!$C$69)))-Assumptions!$C$58-IF(Assumptions!$C$28=1,IF(F$2=1,Assumptions!$C$26,0),Assumptions!$C$26/Assumptions!$H$15)-Assumptions!$C$33+IF(F$2=Assumptions!$H$15,(INDEX('Pro Forma'!$D$26:$M$26,Assumptions!$H$15)+INDEX('Pro Forma'!$D$9:$M$9,Assumptions!$H$15)*(((1+Assumptions!$H$16+$O18)/(1+Assumptions!$H$16))^Assumptions!$H$15-1))/IF((Assumptions!$C$22+$P18)=0,1,Assumptions!$C$22+$P18)*(1-Assumptions!$C$23)-INDEX('Debt Schedule'!$C$8:$L$8,Assumptions!$H$15)-INDEX('Debt Schedule'!$C$19:$L$19,Assumptions!$H$15),0))</f>
        <v>0</v>
      </c>
      <c r="G18" s="98" t="n">
        <f aca="false" t="array" ref="G18:G18">IF(G$2&gt;Assumptions!$H$15,0,(INDEX('Pro Forma'!$D$26:$M$26,G$2)+INDEX('Pro Forma'!$D$9:$M$9,G$2)*(((1+Assumptions!$H$16+$O18)/(1+Assumptions!$H$16))^G$2-1))-IF(Assumptions!$C$37=1,Assumptions!$C$68,IF(Assumptions!$C$37=2,Assumptions!$C$69,IF(G$2&lt;=Assumptions!$C$41,Assumptions!$C$68,Assumptions!$C$69)))-Assumptions!$C$58-IF(Assumptions!$C$28=1,IF(G$2=1,Assumptions!$C$26,0),Assumptions!$C$26/Assumptions!$H$15)-Assumptions!$C$33+IF(G$2=Assumptions!$H$15,(INDEX('Pro Forma'!$D$26:$M$26,Assumptions!$H$15)+INDEX('Pro Forma'!$D$9:$M$9,Assumptions!$H$15)*(((1+Assumptions!$H$16+$O18)/(1+Assumptions!$H$16))^Assumptions!$H$15-1))/IF((Assumptions!$C$22+$P18)=0,1,Assumptions!$C$22+$P18)*(1-Assumptions!$C$23)-INDEX('Debt Schedule'!$C$8:$L$8,Assumptions!$H$15)-INDEX('Debt Schedule'!$C$19:$L$19,Assumptions!$H$15),0))</f>
        <v>0</v>
      </c>
      <c r="H18" s="98" t="n">
        <f aca="false" t="array" ref="H18:H18">IF(H$2&gt;Assumptions!$H$15,0,(INDEX('Pro Forma'!$D$26:$M$26,H$2)+INDEX('Pro Forma'!$D$9:$M$9,H$2)*(((1+Assumptions!$H$16+$O18)/(1+Assumptions!$H$16))^H$2-1))-IF(Assumptions!$C$37=1,Assumptions!$C$68,IF(Assumptions!$C$37=2,Assumptions!$C$69,IF(H$2&lt;=Assumptions!$C$41,Assumptions!$C$68,Assumptions!$C$69)))-Assumptions!$C$58-IF(Assumptions!$C$28=1,IF(H$2=1,Assumptions!$C$26,0),Assumptions!$C$26/Assumptions!$H$15)-Assumptions!$C$33+IF(H$2=Assumptions!$H$15,(INDEX('Pro Forma'!$D$26:$M$26,Assumptions!$H$15)+INDEX('Pro Forma'!$D$9:$M$9,Assumptions!$H$15)*(((1+Assumptions!$H$16+$O18)/(1+Assumptions!$H$16))^Assumptions!$H$15-1))/IF((Assumptions!$C$22+$P18)=0,1,Assumptions!$C$22+$P18)*(1-Assumptions!$C$23)-INDEX('Debt Schedule'!$C$8:$L$8,Assumptions!$H$15)-INDEX('Debt Schedule'!$C$19:$L$19,Assumptions!$H$15),0))</f>
        <v>0</v>
      </c>
      <c r="I18" s="98" t="n">
        <f aca="false" t="array" ref="I18:I18">IF(I$2&gt;Assumptions!$H$15,0,(INDEX('Pro Forma'!$D$26:$M$26,I$2)+INDEX('Pro Forma'!$D$9:$M$9,I$2)*(((1+Assumptions!$H$16+$O18)/(1+Assumptions!$H$16))^I$2-1))-IF(Assumptions!$C$37=1,Assumptions!$C$68,IF(Assumptions!$C$37=2,Assumptions!$C$69,IF(I$2&lt;=Assumptions!$C$41,Assumptions!$C$68,Assumptions!$C$69)))-Assumptions!$C$58-IF(Assumptions!$C$28=1,IF(I$2=1,Assumptions!$C$26,0),Assumptions!$C$26/Assumptions!$H$15)-Assumptions!$C$33+IF(I$2=Assumptions!$H$15,(INDEX('Pro Forma'!$D$26:$M$26,Assumptions!$H$15)+INDEX('Pro Forma'!$D$9:$M$9,Assumptions!$H$15)*(((1+Assumptions!$H$16+$O18)/(1+Assumptions!$H$16))^Assumptions!$H$15-1))/IF((Assumptions!$C$22+$P18)=0,1,Assumptions!$C$22+$P18)*(1-Assumptions!$C$23)-INDEX('Debt Schedule'!$C$8:$L$8,Assumptions!$H$15)-INDEX('Debt Schedule'!$C$19:$L$19,Assumptions!$H$15),0))</f>
        <v>0</v>
      </c>
      <c r="J18" s="98" t="n">
        <f aca="false" t="array" ref="J18:J18">IF(J$2&gt;Assumptions!$H$15,0,(INDEX('Pro Forma'!$D$26:$M$26,J$2)+INDEX('Pro Forma'!$D$9:$M$9,J$2)*(((1+Assumptions!$H$16+$O18)/(1+Assumptions!$H$16))^J$2-1))-IF(Assumptions!$C$37=1,Assumptions!$C$68,IF(Assumptions!$C$37=2,Assumptions!$C$69,IF(J$2&lt;=Assumptions!$C$41,Assumptions!$C$68,Assumptions!$C$69)))-Assumptions!$C$58-IF(Assumptions!$C$28=1,IF(J$2=1,Assumptions!$C$26,0),Assumptions!$C$26/Assumptions!$H$15)-Assumptions!$C$33+IF(J$2=Assumptions!$H$15,(INDEX('Pro Forma'!$D$26:$M$26,Assumptions!$H$15)+INDEX('Pro Forma'!$D$9:$M$9,Assumptions!$H$15)*(((1+Assumptions!$H$16+$O18)/(1+Assumptions!$H$16))^Assumptions!$H$15-1))/IF((Assumptions!$C$22+$P18)=0,1,Assumptions!$C$22+$P18)*(1-Assumptions!$C$23)-INDEX('Debt Schedule'!$C$8:$L$8,Assumptions!$H$15)-INDEX('Debt Schedule'!$C$19:$L$19,Assumptions!$H$15),0))</f>
        <v>0</v>
      </c>
      <c r="K18" s="98" t="n">
        <f aca="false" t="array" ref="K18:K18">IF(K$2&gt;Assumptions!$H$15,0,(INDEX('Pro Forma'!$D$26:$M$26,K$2)+INDEX('Pro Forma'!$D$9:$M$9,K$2)*(((1+Assumptions!$H$16+$O18)/(1+Assumptions!$H$16))^K$2-1))-IF(Assumptions!$C$37=1,Assumptions!$C$68,IF(Assumptions!$C$37=2,Assumptions!$C$69,IF(K$2&lt;=Assumptions!$C$41,Assumptions!$C$68,Assumptions!$C$69)))-Assumptions!$C$58-IF(Assumptions!$C$28=1,IF(K$2=1,Assumptions!$C$26,0),Assumptions!$C$26/Assumptions!$H$15)-Assumptions!$C$33+IF(K$2=Assumptions!$H$15,(INDEX('Pro Forma'!$D$26:$M$26,Assumptions!$H$15)+INDEX('Pro Forma'!$D$9:$M$9,Assumptions!$H$15)*(((1+Assumptions!$H$16+$O18)/(1+Assumptions!$H$16))^Assumptions!$H$15-1))/IF((Assumptions!$C$22+$P18)=0,1,Assumptions!$C$22+$P18)*(1-Assumptions!$C$23)-INDEX('Debt Schedule'!$C$8:$L$8,Assumptions!$H$15)-INDEX('Debt Schedule'!$C$19:$L$19,Assumptions!$H$15),0))</f>
        <v>0</v>
      </c>
      <c r="L18" s="98" t="n">
        <f aca="false" t="array" ref="L18:L18">IF(L$2&gt;Assumptions!$H$15,0,(INDEX('Pro Forma'!$D$26:$M$26,L$2)+INDEX('Pro Forma'!$D$9:$M$9,L$2)*(((1+Assumptions!$H$16+$O18)/(1+Assumptions!$H$16))^L$2-1))-IF(Assumptions!$C$37=1,Assumptions!$C$68,IF(Assumptions!$C$37=2,Assumptions!$C$69,IF(L$2&lt;=Assumptions!$C$41,Assumptions!$C$68,Assumptions!$C$69)))-Assumptions!$C$58-IF(Assumptions!$C$28=1,IF(L$2=1,Assumptions!$C$26,0),Assumptions!$C$26/Assumptions!$H$15)-Assumptions!$C$33+IF(L$2=Assumptions!$H$15,(INDEX('Pro Forma'!$D$26:$M$26,Assumptions!$H$15)+INDEX('Pro Forma'!$D$9:$M$9,Assumptions!$H$15)*(((1+Assumptions!$H$16+$O18)/(1+Assumptions!$H$16))^Assumptions!$H$15-1))/IF((Assumptions!$C$22+$P18)=0,1,Assumptions!$C$22+$P18)*(1-Assumptions!$C$23)-INDEX('Debt Schedule'!$C$8:$L$8,Assumptions!$H$15)-INDEX('Debt Schedule'!$C$19:$L$19,Assumptions!$H$15),0))</f>
        <v>0</v>
      </c>
      <c r="M18" s="98" t="n">
        <f aca="false" t="array" ref="M18:M18">IF(M$2&gt;Assumptions!$H$15,0,(INDEX('Pro Forma'!$D$26:$M$26,M$2)+INDEX('Pro Forma'!$D$9:$M$9,M$2)*(((1+Assumptions!$H$16+$O18)/(1+Assumptions!$H$16))^M$2-1))-IF(Assumptions!$C$37=1,Assumptions!$C$68,IF(Assumptions!$C$37=2,Assumptions!$C$69,IF(M$2&lt;=Assumptions!$C$41,Assumptions!$C$68,Assumptions!$C$69)))-Assumptions!$C$58-IF(Assumptions!$C$28=1,IF(M$2=1,Assumptions!$C$26,0),Assumptions!$C$26/Assumptions!$H$15)-Assumptions!$C$33+IF(M$2=Assumptions!$H$15,(INDEX('Pro Forma'!$D$26:$M$26,Assumptions!$H$15)+INDEX('Pro Forma'!$D$9:$M$9,Assumptions!$H$15)*(((1+Assumptions!$H$16+$O18)/(1+Assumptions!$H$16))^Assumptions!$H$15-1))/IF((Assumptions!$C$22+$P18)=0,1,Assumptions!$C$22+$P18)*(1-Assumptions!$C$23)-INDEX('Debt Schedule'!$C$8:$L$8,Assumptions!$H$15)-INDEX('Debt Schedule'!$C$19:$L$19,Assumptions!$H$15),0))</f>
        <v>0</v>
      </c>
      <c r="N18" s="99" t="n">
        <f aca="false">IFERROR(IRR(C18:M18),0)</f>
        <v>0</v>
      </c>
      <c r="O18" s="100" t="n">
        <f aca="false">(MOD(ROW()-3,5)-2)*0.005</f>
        <v>-0.01</v>
      </c>
      <c r="P18" s="100" t="n">
        <f aca="false">(INT((ROW()-3)/5)-2)*0.0025</f>
        <v>0.0025</v>
      </c>
    </row>
    <row r="19" customFormat="false" ht="15" hidden="false" customHeight="true" outlineLevel="0" collapsed="false">
      <c r="C19" s="98" t="n">
        <f aca="false">-Assumptions!$C$70</f>
        <v>-0</v>
      </c>
      <c r="D19" s="98" t="n">
        <f aca="false" t="array" ref="D19:D19">IF(D$2&gt;Assumptions!$H$15,0,(INDEX('Pro Forma'!$D$26:$M$26,D$2)+INDEX('Pro Forma'!$D$9:$M$9,D$2)*(((1+Assumptions!$H$16+$O19)/(1+Assumptions!$H$16))^D$2-1))-IF(Assumptions!$C$37=1,Assumptions!$C$68,IF(Assumptions!$C$37=2,Assumptions!$C$69,IF(D$2&lt;=Assumptions!$C$41,Assumptions!$C$68,Assumptions!$C$69)))-Assumptions!$C$58-IF(Assumptions!$C$28=1,IF(D$2=1,Assumptions!$C$26,0),Assumptions!$C$26/Assumptions!$H$15)-Assumptions!$C$33+IF(D$2=Assumptions!$H$15,(INDEX('Pro Forma'!$D$26:$M$26,Assumptions!$H$15)+INDEX('Pro Forma'!$D$9:$M$9,Assumptions!$H$15)*(((1+Assumptions!$H$16+$O19)/(1+Assumptions!$H$16))^Assumptions!$H$15-1))/IF((Assumptions!$C$22+$P19)=0,1,Assumptions!$C$22+$P19)*(1-Assumptions!$C$23)-INDEX('Debt Schedule'!$C$8:$L$8,Assumptions!$H$15)-INDEX('Debt Schedule'!$C$19:$L$19,Assumptions!$H$15),0))</f>
        <v>0</v>
      </c>
      <c r="E19" s="98" t="n">
        <f aca="false" t="array" ref="E19:E19">IF(E$2&gt;Assumptions!$H$15,0,(INDEX('Pro Forma'!$D$26:$M$26,E$2)+INDEX('Pro Forma'!$D$9:$M$9,E$2)*(((1+Assumptions!$H$16+$O19)/(1+Assumptions!$H$16))^E$2-1))-IF(Assumptions!$C$37=1,Assumptions!$C$68,IF(Assumptions!$C$37=2,Assumptions!$C$69,IF(E$2&lt;=Assumptions!$C$41,Assumptions!$C$68,Assumptions!$C$69)))-Assumptions!$C$58-IF(Assumptions!$C$28=1,IF(E$2=1,Assumptions!$C$26,0),Assumptions!$C$26/Assumptions!$H$15)-Assumptions!$C$33+IF(E$2=Assumptions!$H$15,(INDEX('Pro Forma'!$D$26:$M$26,Assumptions!$H$15)+INDEX('Pro Forma'!$D$9:$M$9,Assumptions!$H$15)*(((1+Assumptions!$H$16+$O19)/(1+Assumptions!$H$16))^Assumptions!$H$15-1))/IF((Assumptions!$C$22+$P19)=0,1,Assumptions!$C$22+$P19)*(1-Assumptions!$C$23)-INDEX('Debt Schedule'!$C$8:$L$8,Assumptions!$H$15)-INDEX('Debt Schedule'!$C$19:$L$19,Assumptions!$H$15),0))</f>
        <v>0</v>
      </c>
      <c r="F19" s="98" t="n">
        <f aca="false" t="array" ref="F19:F19">IF(F$2&gt;Assumptions!$H$15,0,(INDEX('Pro Forma'!$D$26:$M$26,F$2)+INDEX('Pro Forma'!$D$9:$M$9,F$2)*(((1+Assumptions!$H$16+$O19)/(1+Assumptions!$H$16))^F$2-1))-IF(Assumptions!$C$37=1,Assumptions!$C$68,IF(Assumptions!$C$37=2,Assumptions!$C$69,IF(F$2&lt;=Assumptions!$C$41,Assumptions!$C$68,Assumptions!$C$69)))-Assumptions!$C$58-IF(Assumptions!$C$28=1,IF(F$2=1,Assumptions!$C$26,0),Assumptions!$C$26/Assumptions!$H$15)-Assumptions!$C$33+IF(F$2=Assumptions!$H$15,(INDEX('Pro Forma'!$D$26:$M$26,Assumptions!$H$15)+INDEX('Pro Forma'!$D$9:$M$9,Assumptions!$H$15)*(((1+Assumptions!$H$16+$O19)/(1+Assumptions!$H$16))^Assumptions!$H$15-1))/IF((Assumptions!$C$22+$P19)=0,1,Assumptions!$C$22+$P19)*(1-Assumptions!$C$23)-INDEX('Debt Schedule'!$C$8:$L$8,Assumptions!$H$15)-INDEX('Debt Schedule'!$C$19:$L$19,Assumptions!$H$15),0))</f>
        <v>0</v>
      </c>
      <c r="G19" s="98" t="n">
        <f aca="false" t="array" ref="G19:G19">IF(G$2&gt;Assumptions!$H$15,0,(INDEX('Pro Forma'!$D$26:$M$26,G$2)+INDEX('Pro Forma'!$D$9:$M$9,G$2)*(((1+Assumptions!$H$16+$O19)/(1+Assumptions!$H$16))^G$2-1))-IF(Assumptions!$C$37=1,Assumptions!$C$68,IF(Assumptions!$C$37=2,Assumptions!$C$69,IF(G$2&lt;=Assumptions!$C$41,Assumptions!$C$68,Assumptions!$C$69)))-Assumptions!$C$58-IF(Assumptions!$C$28=1,IF(G$2=1,Assumptions!$C$26,0),Assumptions!$C$26/Assumptions!$H$15)-Assumptions!$C$33+IF(G$2=Assumptions!$H$15,(INDEX('Pro Forma'!$D$26:$M$26,Assumptions!$H$15)+INDEX('Pro Forma'!$D$9:$M$9,Assumptions!$H$15)*(((1+Assumptions!$H$16+$O19)/(1+Assumptions!$H$16))^Assumptions!$H$15-1))/IF((Assumptions!$C$22+$P19)=0,1,Assumptions!$C$22+$P19)*(1-Assumptions!$C$23)-INDEX('Debt Schedule'!$C$8:$L$8,Assumptions!$H$15)-INDEX('Debt Schedule'!$C$19:$L$19,Assumptions!$H$15),0))</f>
        <v>0</v>
      </c>
      <c r="H19" s="98" t="n">
        <f aca="false" t="array" ref="H19:H19">IF(H$2&gt;Assumptions!$H$15,0,(INDEX('Pro Forma'!$D$26:$M$26,H$2)+INDEX('Pro Forma'!$D$9:$M$9,H$2)*(((1+Assumptions!$H$16+$O19)/(1+Assumptions!$H$16))^H$2-1))-IF(Assumptions!$C$37=1,Assumptions!$C$68,IF(Assumptions!$C$37=2,Assumptions!$C$69,IF(H$2&lt;=Assumptions!$C$41,Assumptions!$C$68,Assumptions!$C$69)))-Assumptions!$C$58-IF(Assumptions!$C$28=1,IF(H$2=1,Assumptions!$C$26,0),Assumptions!$C$26/Assumptions!$H$15)-Assumptions!$C$33+IF(H$2=Assumptions!$H$15,(INDEX('Pro Forma'!$D$26:$M$26,Assumptions!$H$15)+INDEX('Pro Forma'!$D$9:$M$9,Assumptions!$H$15)*(((1+Assumptions!$H$16+$O19)/(1+Assumptions!$H$16))^Assumptions!$H$15-1))/IF((Assumptions!$C$22+$P19)=0,1,Assumptions!$C$22+$P19)*(1-Assumptions!$C$23)-INDEX('Debt Schedule'!$C$8:$L$8,Assumptions!$H$15)-INDEX('Debt Schedule'!$C$19:$L$19,Assumptions!$H$15),0))</f>
        <v>0</v>
      </c>
      <c r="I19" s="98" t="n">
        <f aca="false" t="array" ref="I19:I19">IF(I$2&gt;Assumptions!$H$15,0,(INDEX('Pro Forma'!$D$26:$M$26,I$2)+INDEX('Pro Forma'!$D$9:$M$9,I$2)*(((1+Assumptions!$H$16+$O19)/(1+Assumptions!$H$16))^I$2-1))-IF(Assumptions!$C$37=1,Assumptions!$C$68,IF(Assumptions!$C$37=2,Assumptions!$C$69,IF(I$2&lt;=Assumptions!$C$41,Assumptions!$C$68,Assumptions!$C$69)))-Assumptions!$C$58-IF(Assumptions!$C$28=1,IF(I$2=1,Assumptions!$C$26,0),Assumptions!$C$26/Assumptions!$H$15)-Assumptions!$C$33+IF(I$2=Assumptions!$H$15,(INDEX('Pro Forma'!$D$26:$M$26,Assumptions!$H$15)+INDEX('Pro Forma'!$D$9:$M$9,Assumptions!$H$15)*(((1+Assumptions!$H$16+$O19)/(1+Assumptions!$H$16))^Assumptions!$H$15-1))/IF((Assumptions!$C$22+$P19)=0,1,Assumptions!$C$22+$P19)*(1-Assumptions!$C$23)-INDEX('Debt Schedule'!$C$8:$L$8,Assumptions!$H$15)-INDEX('Debt Schedule'!$C$19:$L$19,Assumptions!$H$15),0))</f>
        <v>0</v>
      </c>
      <c r="J19" s="98" t="n">
        <f aca="false" t="array" ref="J19:J19">IF(J$2&gt;Assumptions!$H$15,0,(INDEX('Pro Forma'!$D$26:$M$26,J$2)+INDEX('Pro Forma'!$D$9:$M$9,J$2)*(((1+Assumptions!$H$16+$O19)/(1+Assumptions!$H$16))^J$2-1))-IF(Assumptions!$C$37=1,Assumptions!$C$68,IF(Assumptions!$C$37=2,Assumptions!$C$69,IF(J$2&lt;=Assumptions!$C$41,Assumptions!$C$68,Assumptions!$C$69)))-Assumptions!$C$58-IF(Assumptions!$C$28=1,IF(J$2=1,Assumptions!$C$26,0),Assumptions!$C$26/Assumptions!$H$15)-Assumptions!$C$33+IF(J$2=Assumptions!$H$15,(INDEX('Pro Forma'!$D$26:$M$26,Assumptions!$H$15)+INDEX('Pro Forma'!$D$9:$M$9,Assumptions!$H$15)*(((1+Assumptions!$H$16+$O19)/(1+Assumptions!$H$16))^Assumptions!$H$15-1))/IF((Assumptions!$C$22+$P19)=0,1,Assumptions!$C$22+$P19)*(1-Assumptions!$C$23)-INDEX('Debt Schedule'!$C$8:$L$8,Assumptions!$H$15)-INDEX('Debt Schedule'!$C$19:$L$19,Assumptions!$H$15),0))</f>
        <v>0</v>
      </c>
      <c r="K19" s="98" t="n">
        <f aca="false" t="array" ref="K19:K19">IF(K$2&gt;Assumptions!$H$15,0,(INDEX('Pro Forma'!$D$26:$M$26,K$2)+INDEX('Pro Forma'!$D$9:$M$9,K$2)*(((1+Assumptions!$H$16+$O19)/(1+Assumptions!$H$16))^K$2-1))-IF(Assumptions!$C$37=1,Assumptions!$C$68,IF(Assumptions!$C$37=2,Assumptions!$C$69,IF(K$2&lt;=Assumptions!$C$41,Assumptions!$C$68,Assumptions!$C$69)))-Assumptions!$C$58-IF(Assumptions!$C$28=1,IF(K$2=1,Assumptions!$C$26,0),Assumptions!$C$26/Assumptions!$H$15)-Assumptions!$C$33+IF(K$2=Assumptions!$H$15,(INDEX('Pro Forma'!$D$26:$M$26,Assumptions!$H$15)+INDEX('Pro Forma'!$D$9:$M$9,Assumptions!$H$15)*(((1+Assumptions!$H$16+$O19)/(1+Assumptions!$H$16))^Assumptions!$H$15-1))/IF((Assumptions!$C$22+$P19)=0,1,Assumptions!$C$22+$P19)*(1-Assumptions!$C$23)-INDEX('Debt Schedule'!$C$8:$L$8,Assumptions!$H$15)-INDEX('Debt Schedule'!$C$19:$L$19,Assumptions!$H$15),0))</f>
        <v>0</v>
      </c>
      <c r="L19" s="98" t="n">
        <f aca="false" t="array" ref="L19:L19">IF(L$2&gt;Assumptions!$H$15,0,(INDEX('Pro Forma'!$D$26:$M$26,L$2)+INDEX('Pro Forma'!$D$9:$M$9,L$2)*(((1+Assumptions!$H$16+$O19)/(1+Assumptions!$H$16))^L$2-1))-IF(Assumptions!$C$37=1,Assumptions!$C$68,IF(Assumptions!$C$37=2,Assumptions!$C$69,IF(L$2&lt;=Assumptions!$C$41,Assumptions!$C$68,Assumptions!$C$69)))-Assumptions!$C$58-IF(Assumptions!$C$28=1,IF(L$2=1,Assumptions!$C$26,0),Assumptions!$C$26/Assumptions!$H$15)-Assumptions!$C$33+IF(L$2=Assumptions!$H$15,(INDEX('Pro Forma'!$D$26:$M$26,Assumptions!$H$15)+INDEX('Pro Forma'!$D$9:$M$9,Assumptions!$H$15)*(((1+Assumptions!$H$16+$O19)/(1+Assumptions!$H$16))^Assumptions!$H$15-1))/IF((Assumptions!$C$22+$P19)=0,1,Assumptions!$C$22+$P19)*(1-Assumptions!$C$23)-INDEX('Debt Schedule'!$C$8:$L$8,Assumptions!$H$15)-INDEX('Debt Schedule'!$C$19:$L$19,Assumptions!$H$15),0))</f>
        <v>0</v>
      </c>
      <c r="M19" s="98" t="n">
        <f aca="false" t="array" ref="M19:M19">IF(M$2&gt;Assumptions!$H$15,0,(INDEX('Pro Forma'!$D$26:$M$26,M$2)+INDEX('Pro Forma'!$D$9:$M$9,M$2)*(((1+Assumptions!$H$16+$O19)/(1+Assumptions!$H$16))^M$2-1))-IF(Assumptions!$C$37=1,Assumptions!$C$68,IF(Assumptions!$C$37=2,Assumptions!$C$69,IF(M$2&lt;=Assumptions!$C$41,Assumptions!$C$68,Assumptions!$C$69)))-Assumptions!$C$58-IF(Assumptions!$C$28=1,IF(M$2=1,Assumptions!$C$26,0),Assumptions!$C$26/Assumptions!$H$15)-Assumptions!$C$33+IF(M$2=Assumptions!$H$15,(INDEX('Pro Forma'!$D$26:$M$26,Assumptions!$H$15)+INDEX('Pro Forma'!$D$9:$M$9,Assumptions!$H$15)*(((1+Assumptions!$H$16+$O19)/(1+Assumptions!$H$16))^Assumptions!$H$15-1))/IF((Assumptions!$C$22+$P19)=0,1,Assumptions!$C$22+$P19)*(1-Assumptions!$C$23)-INDEX('Debt Schedule'!$C$8:$L$8,Assumptions!$H$15)-INDEX('Debt Schedule'!$C$19:$L$19,Assumptions!$H$15),0))</f>
        <v>0</v>
      </c>
      <c r="N19" s="99" t="n">
        <f aca="false">IFERROR(IRR(C19:M19),0)</f>
        <v>0</v>
      </c>
      <c r="O19" s="100" t="n">
        <f aca="false">(MOD(ROW()-3,5)-2)*0.005</f>
        <v>-0.005</v>
      </c>
      <c r="P19" s="100" t="n">
        <f aca="false">(INT((ROW()-3)/5)-2)*0.0025</f>
        <v>0.0025</v>
      </c>
    </row>
    <row r="20" customFormat="false" ht="15" hidden="false" customHeight="true" outlineLevel="0" collapsed="false">
      <c r="C20" s="98" t="n">
        <f aca="false">-Assumptions!$C$70</f>
        <v>-0</v>
      </c>
      <c r="D20" s="98" t="n">
        <f aca="false" t="array" ref="D20:D20">IF(D$2&gt;Assumptions!$H$15,0,(INDEX('Pro Forma'!$D$26:$M$26,D$2)+INDEX('Pro Forma'!$D$9:$M$9,D$2)*(((1+Assumptions!$H$16+$O20)/(1+Assumptions!$H$16))^D$2-1))-IF(Assumptions!$C$37=1,Assumptions!$C$68,IF(Assumptions!$C$37=2,Assumptions!$C$69,IF(D$2&lt;=Assumptions!$C$41,Assumptions!$C$68,Assumptions!$C$69)))-Assumptions!$C$58-IF(Assumptions!$C$28=1,IF(D$2=1,Assumptions!$C$26,0),Assumptions!$C$26/Assumptions!$H$15)-Assumptions!$C$33+IF(D$2=Assumptions!$H$15,(INDEX('Pro Forma'!$D$26:$M$26,Assumptions!$H$15)+INDEX('Pro Forma'!$D$9:$M$9,Assumptions!$H$15)*(((1+Assumptions!$H$16+$O20)/(1+Assumptions!$H$16))^Assumptions!$H$15-1))/IF((Assumptions!$C$22+$P20)=0,1,Assumptions!$C$22+$P20)*(1-Assumptions!$C$23)-INDEX('Debt Schedule'!$C$8:$L$8,Assumptions!$H$15)-INDEX('Debt Schedule'!$C$19:$L$19,Assumptions!$H$15),0))</f>
        <v>0</v>
      </c>
      <c r="E20" s="98" t="n">
        <f aca="false" t="array" ref="E20:E20">IF(E$2&gt;Assumptions!$H$15,0,(INDEX('Pro Forma'!$D$26:$M$26,E$2)+INDEX('Pro Forma'!$D$9:$M$9,E$2)*(((1+Assumptions!$H$16+$O20)/(1+Assumptions!$H$16))^E$2-1))-IF(Assumptions!$C$37=1,Assumptions!$C$68,IF(Assumptions!$C$37=2,Assumptions!$C$69,IF(E$2&lt;=Assumptions!$C$41,Assumptions!$C$68,Assumptions!$C$69)))-Assumptions!$C$58-IF(Assumptions!$C$28=1,IF(E$2=1,Assumptions!$C$26,0),Assumptions!$C$26/Assumptions!$H$15)-Assumptions!$C$33+IF(E$2=Assumptions!$H$15,(INDEX('Pro Forma'!$D$26:$M$26,Assumptions!$H$15)+INDEX('Pro Forma'!$D$9:$M$9,Assumptions!$H$15)*(((1+Assumptions!$H$16+$O20)/(1+Assumptions!$H$16))^Assumptions!$H$15-1))/IF((Assumptions!$C$22+$P20)=0,1,Assumptions!$C$22+$P20)*(1-Assumptions!$C$23)-INDEX('Debt Schedule'!$C$8:$L$8,Assumptions!$H$15)-INDEX('Debt Schedule'!$C$19:$L$19,Assumptions!$H$15),0))</f>
        <v>0</v>
      </c>
      <c r="F20" s="98" t="n">
        <f aca="false" t="array" ref="F20:F20">IF(F$2&gt;Assumptions!$H$15,0,(INDEX('Pro Forma'!$D$26:$M$26,F$2)+INDEX('Pro Forma'!$D$9:$M$9,F$2)*(((1+Assumptions!$H$16+$O20)/(1+Assumptions!$H$16))^F$2-1))-IF(Assumptions!$C$37=1,Assumptions!$C$68,IF(Assumptions!$C$37=2,Assumptions!$C$69,IF(F$2&lt;=Assumptions!$C$41,Assumptions!$C$68,Assumptions!$C$69)))-Assumptions!$C$58-IF(Assumptions!$C$28=1,IF(F$2=1,Assumptions!$C$26,0),Assumptions!$C$26/Assumptions!$H$15)-Assumptions!$C$33+IF(F$2=Assumptions!$H$15,(INDEX('Pro Forma'!$D$26:$M$26,Assumptions!$H$15)+INDEX('Pro Forma'!$D$9:$M$9,Assumptions!$H$15)*(((1+Assumptions!$H$16+$O20)/(1+Assumptions!$H$16))^Assumptions!$H$15-1))/IF((Assumptions!$C$22+$P20)=0,1,Assumptions!$C$22+$P20)*(1-Assumptions!$C$23)-INDEX('Debt Schedule'!$C$8:$L$8,Assumptions!$H$15)-INDEX('Debt Schedule'!$C$19:$L$19,Assumptions!$H$15),0))</f>
        <v>0</v>
      </c>
      <c r="G20" s="98" t="n">
        <f aca="false" t="array" ref="G20:G20">IF(G$2&gt;Assumptions!$H$15,0,(INDEX('Pro Forma'!$D$26:$M$26,G$2)+INDEX('Pro Forma'!$D$9:$M$9,G$2)*(((1+Assumptions!$H$16+$O20)/(1+Assumptions!$H$16))^G$2-1))-IF(Assumptions!$C$37=1,Assumptions!$C$68,IF(Assumptions!$C$37=2,Assumptions!$C$69,IF(G$2&lt;=Assumptions!$C$41,Assumptions!$C$68,Assumptions!$C$69)))-Assumptions!$C$58-IF(Assumptions!$C$28=1,IF(G$2=1,Assumptions!$C$26,0),Assumptions!$C$26/Assumptions!$H$15)-Assumptions!$C$33+IF(G$2=Assumptions!$H$15,(INDEX('Pro Forma'!$D$26:$M$26,Assumptions!$H$15)+INDEX('Pro Forma'!$D$9:$M$9,Assumptions!$H$15)*(((1+Assumptions!$H$16+$O20)/(1+Assumptions!$H$16))^Assumptions!$H$15-1))/IF((Assumptions!$C$22+$P20)=0,1,Assumptions!$C$22+$P20)*(1-Assumptions!$C$23)-INDEX('Debt Schedule'!$C$8:$L$8,Assumptions!$H$15)-INDEX('Debt Schedule'!$C$19:$L$19,Assumptions!$H$15),0))</f>
        <v>0</v>
      </c>
      <c r="H20" s="98" t="n">
        <f aca="false" t="array" ref="H20:H20">IF(H$2&gt;Assumptions!$H$15,0,(INDEX('Pro Forma'!$D$26:$M$26,H$2)+INDEX('Pro Forma'!$D$9:$M$9,H$2)*(((1+Assumptions!$H$16+$O20)/(1+Assumptions!$H$16))^H$2-1))-IF(Assumptions!$C$37=1,Assumptions!$C$68,IF(Assumptions!$C$37=2,Assumptions!$C$69,IF(H$2&lt;=Assumptions!$C$41,Assumptions!$C$68,Assumptions!$C$69)))-Assumptions!$C$58-IF(Assumptions!$C$28=1,IF(H$2=1,Assumptions!$C$26,0),Assumptions!$C$26/Assumptions!$H$15)-Assumptions!$C$33+IF(H$2=Assumptions!$H$15,(INDEX('Pro Forma'!$D$26:$M$26,Assumptions!$H$15)+INDEX('Pro Forma'!$D$9:$M$9,Assumptions!$H$15)*(((1+Assumptions!$H$16+$O20)/(1+Assumptions!$H$16))^Assumptions!$H$15-1))/IF((Assumptions!$C$22+$P20)=0,1,Assumptions!$C$22+$P20)*(1-Assumptions!$C$23)-INDEX('Debt Schedule'!$C$8:$L$8,Assumptions!$H$15)-INDEX('Debt Schedule'!$C$19:$L$19,Assumptions!$H$15),0))</f>
        <v>0</v>
      </c>
      <c r="I20" s="98" t="n">
        <f aca="false" t="array" ref="I20:I20">IF(I$2&gt;Assumptions!$H$15,0,(INDEX('Pro Forma'!$D$26:$M$26,I$2)+INDEX('Pro Forma'!$D$9:$M$9,I$2)*(((1+Assumptions!$H$16+$O20)/(1+Assumptions!$H$16))^I$2-1))-IF(Assumptions!$C$37=1,Assumptions!$C$68,IF(Assumptions!$C$37=2,Assumptions!$C$69,IF(I$2&lt;=Assumptions!$C$41,Assumptions!$C$68,Assumptions!$C$69)))-Assumptions!$C$58-IF(Assumptions!$C$28=1,IF(I$2=1,Assumptions!$C$26,0),Assumptions!$C$26/Assumptions!$H$15)-Assumptions!$C$33+IF(I$2=Assumptions!$H$15,(INDEX('Pro Forma'!$D$26:$M$26,Assumptions!$H$15)+INDEX('Pro Forma'!$D$9:$M$9,Assumptions!$H$15)*(((1+Assumptions!$H$16+$O20)/(1+Assumptions!$H$16))^Assumptions!$H$15-1))/IF((Assumptions!$C$22+$P20)=0,1,Assumptions!$C$22+$P20)*(1-Assumptions!$C$23)-INDEX('Debt Schedule'!$C$8:$L$8,Assumptions!$H$15)-INDEX('Debt Schedule'!$C$19:$L$19,Assumptions!$H$15),0))</f>
        <v>0</v>
      </c>
      <c r="J20" s="98" t="n">
        <f aca="false" t="array" ref="J20:J20">IF(J$2&gt;Assumptions!$H$15,0,(INDEX('Pro Forma'!$D$26:$M$26,J$2)+INDEX('Pro Forma'!$D$9:$M$9,J$2)*(((1+Assumptions!$H$16+$O20)/(1+Assumptions!$H$16))^J$2-1))-IF(Assumptions!$C$37=1,Assumptions!$C$68,IF(Assumptions!$C$37=2,Assumptions!$C$69,IF(J$2&lt;=Assumptions!$C$41,Assumptions!$C$68,Assumptions!$C$69)))-Assumptions!$C$58-IF(Assumptions!$C$28=1,IF(J$2=1,Assumptions!$C$26,0),Assumptions!$C$26/Assumptions!$H$15)-Assumptions!$C$33+IF(J$2=Assumptions!$H$15,(INDEX('Pro Forma'!$D$26:$M$26,Assumptions!$H$15)+INDEX('Pro Forma'!$D$9:$M$9,Assumptions!$H$15)*(((1+Assumptions!$H$16+$O20)/(1+Assumptions!$H$16))^Assumptions!$H$15-1))/IF((Assumptions!$C$22+$P20)=0,1,Assumptions!$C$22+$P20)*(1-Assumptions!$C$23)-INDEX('Debt Schedule'!$C$8:$L$8,Assumptions!$H$15)-INDEX('Debt Schedule'!$C$19:$L$19,Assumptions!$H$15),0))</f>
        <v>0</v>
      </c>
      <c r="K20" s="98" t="n">
        <f aca="false" t="array" ref="K20:K20">IF(K$2&gt;Assumptions!$H$15,0,(INDEX('Pro Forma'!$D$26:$M$26,K$2)+INDEX('Pro Forma'!$D$9:$M$9,K$2)*(((1+Assumptions!$H$16+$O20)/(1+Assumptions!$H$16))^K$2-1))-IF(Assumptions!$C$37=1,Assumptions!$C$68,IF(Assumptions!$C$37=2,Assumptions!$C$69,IF(K$2&lt;=Assumptions!$C$41,Assumptions!$C$68,Assumptions!$C$69)))-Assumptions!$C$58-IF(Assumptions!$C$28=1,IF(K$2=1,Assumptions!$C$26,0),Assumptions!$C$26/Assumptions!$H$15)-Assumptions!$C$33+IF(K$2=Assumptions!$H$15,(INDEX('Pro Forma'!$D$26:$M$26,Assumptions!$H$15)+INDEX('Pro Forma'!$D$9:$M$9,Assumptions!$H$15)*(((1+Assumptions!$H$16+$O20)/(1+Assumptions!$H$16))^Assumptions!$H$15-1))/IF((Assumptions!$C$22+$P20)=0,1,Assumptions!$C$22+$P20)*(1-Assumptions!$C$23)-INDEX('Debt Schedule'!$C$8:$L$8,Assumptions!$H$15)-INDEX('Debt Schedule'!$C$19:$L$19,Assumptions!$H$15),0))</f>
        <v>0</v>
      </c>
      <c r="L20" s="98" t="n">
        <f aca="false" t="array" ref="L20:L20">IF(L$2&gt;Assumptions!$H$15,0,(INDEX('Pro Forma'!$D$26:$M$26,L$2)+INDEX('Pro Forma'!$D$9:$M$9,L$2)*(((1+Assumptions!$H$16+$O20)/(1+Assumptions!$H$16))^L$2-1))-IF(Assumptions!$C$37=1,Assumptions!$C$68,IF(Assumptions!$C$37=2,Assumptions!$C$69,IF(L$2&lt;=Assumptions!$C$41,Assumptions!$C$68,Assumptions!$C$69)))-Assumptions!$C$58-IF(Assumptions!$C$28=1,IF(L$2=1,Assumptions!$C$26,0),Assumptions!$C$26/Assumptions!$H$15)-Assumptions!$C$33+IF(L$2=Assumptions!$H$15,(INDEX('Pro Forma'!$D$26:$M$26,Assumptions!$H$15)+INDEX('Pro Forma'!$D$9:$M$9,Assumptions!$H$15)*(((1+Assumptions!$H$16+$O20)/(1+Assumptions!$H$16))^Assumptions!$H$15-1))/IF((Assumptions!$C$22+$P20)=0,1,Assumptions!$C$22+$P20)*(1-Assumptions!$C$23)-INDEX('Debt Schedule'!$C$8:$L$8,Assumptions!$H$15)-INDEX('Debt Schedule'!$C$19:$L$19,Assumptions!$H$15),0))</f>
        <v>0</v>
      </c>
      <c r="M20" s="98" t="n">
        <f aca="false" t="array" ref="M20:M20">IF(M$2&gt;Assumptions!$H$15,0,(INDEX('Pro Forma'!$D$26:$M$26,M$2)+INDEX('Pro Forma'!$D$9:$M$9,M$2)*(((1+Assumptions!$H$16+$O20)/(1+Assumptions!$H$16))^M$2-1))-IF(Assumptions!$C$37=1,Assumptions!$C$68,IF(Assumptions!$C$37=2,Assumptions!$C$69,IF(M$2&lt;=Assumptions!$C$41,Assumptions!$C$68,Assumptions!$C$69)))-Assumptions!$C$58-IF(Assumptions!$C$28=1,IF(M$2=1,Assumptions!$C$26,0),Assumptions!$C$26/Assumptions!$H$15)-Assumptions!$C$33+IF(M$2=Assumptions!$H$15,(INDEX('Pro Forma'!$D$26:$M$26,Assumptions!$H$15)+INDEX('Pro Forma'!$D$9:$M$9,Assumptions!$H$15)*(((1+Assumptions!$H$16+$O20)/(1+Assumptions!$H$16))^Assumptions!$H$15-1))/IF((Assumptions!$C$22+$P20)=0,1,Assumptions!$C$22+$P20)*(1-Assumptions!$C$23)-INDEX('Debt Schedule'!$C$8:$L$8,Assumptions!$H$15)-INDEX('Debt Schedule'!$C$19:$L$19,Assumptions!$H$15),0))</f>
        <v>0</v>
      </c>
      <c r="N20" s="99" t="n">
        <f aca="false">IFERROR(IRR(C20:M20),0)</f>
        <v>0</v>
      </c>
      <c r="O20" s="100" t="n">
        <f aca="false">(MOD(ROW()-3,5)-2)*0.005</f>
        <v>0</v>
      </c>
      <c r="P20" s="100" t="n">
        <f aca="false">(INT((ROW()-3)/5)-2)*0.0025</f>
        <v>0.0025</v>
      </c>
    </row>
    <row r="21" customFormat="false" ht="15" hidden="false" customHeight="true" outlineLevel="0" collapsed="false">
      <c r="C21" s="98" t="n">
        <f aca="false">-Assumptions!$C$70</f>
        <v>-0</v>
      </c>
      <c r="D21" s="98" t="n">
        <f aca="false" t="array" ref="D21:D21">IF(D$2&gt;Assumptions!$H$15,0,(INDEX('Pro Forma'!$D$26:$M$26,D$2)+INDEX('Pro Forma'!$D$9:$M$9,D$2)*(((1+Assumptions!$H$16+$O21)/(1+Assumptions!$H$16))^D$2-1))-IF(Assumptions!$C$37=1,Assumptions!$C$68,IF(Assumptions!$C$37=2,Assumptions!$C$69,IF(D$2&lt;=Assumptions!$C$41,Assumptions!$C$68,Assumptions!$C$69)))-Assumptions!$C$58-IF(Assumptions!$C$28=1,IF(D$2=1,Assumptions!$C$26,0),Assumptions!$C$26/Assumptions!$H$15)-Assumptions!$C$33+IF(D$2=Assumptions!$H$15,(INDEX('Pro Forma'!$D$26:$M$26,Assumptions!$H$15)+INDEX('Pro Forma'!$D$9:$M$9,Assumptions!$H$15)*(((1+Assumptions!$H$16+$O21)/(1+Assumptions!$H$16))^Assumptions!$H$15-1))/IF((Assumptions!$C$22+$P21)=0,1,Assumptions!$C$22+$P21)*(1-Assumptions!$C$23)-INDEX('Debt Schedule'!$C$8:$L$8,Assumptions!$H$15)-INDEX('Debt Schedule'!$C$19:$L$19,Assumptions!$H$15),0))</f>
        <v>0</v>
      </c>
      <c r="E21" s="98" t="n">
        <f aca="false" t="array" ref="E21:E21">IF(E$2&gt;Assumptions!$H$15,0,(INDEX('Pro Forma'!$D$26:$M$26,E$2)+INDEX('Pro Forma'!$D$9:$M$9,E$2)*(((1+Assumptions!$H$16+$O21)/(1+Assumptions!$H$16))^E$2-1))-IF(Assumptions!$C$37=1,Assumptions!$C$68,IF(Assumptions!$C$37=2,Assumptions!$C$69,IF(E$2&lt;=Assumptions!$C$41,Assumptions!$C$68,Assumptions!$C$69)))-Assumptions!$C$58-IF(Assumptions!$C$28=1,IF(E$2=1,Assumptions!$C$26,0),Assumptions!$C$26/Assumptions!$H$15)-Assumptions!$C$33+IF(E$2=Assumptions!$H$15,(INDEX('Pro Forma'!$D$26:$M$26,Assumptions!$H$15)+INDEX('Pro Forma'!$D$9:$M$9,Assumptions!$H$15)*(((1+Assumptions!$H$16+$O21)/(1+Assumptions!$H$16))^Assumptions!$H$15-1))/IF((Assumptions!$C$22+$P21)=0,1,Assumptions!$C$22+$P21)*(1-Assumptions!$C$23)-INDEX('Debt Schedule'!$C$8:$L$8,Assumptions!$H$15)-INDEX('Debt Schedule'!$C$19:$L$19,Assumptions!$H$15),0))</f>
        <v>0</v>
      </c>
      <c r="F21" s="98" t="n">
        <f aca="false" t="array" ref="F21:F21">IF(F$2&gt;Assumptions!$H$15,0,(INDEX('Pro Forma'!$D$26:$M$26,F$2)+INDEX('Pro Forma'!$D$9:$M$9,F$2)*(((1+Assumptions!$H$16+$O21)/(1+Assumptions!$H$16))^F$2-1))-IF(Assumptions!$C$37=1,Assumptions!$C$68,IF(Assumptions!$C$37=2,Assumptions!$C$69,IF(F$2&lt;=Assumptions!$C$41,Assumptions!$C$68,Assumptions!$C$69)))-Assumptions!$C$58-IF(Assumptions!$C$28=1,IF(F$2=1,Assumptions!$C$26,0),Assumptions!$C$26/Assumptions!$H$15)-Assumptions!$C$33+IF(F$2=Assumptions!$H$15,(INDEX('Pro Forma'!$D$26:$M$26,Assumptions!$H$15)+INDEX('Pro Forma'!$D$9:$M$9,Assumptions!$H$15)*(((1+Assumptions!$H$16+$O21)/(1+Assumptions!$H$16))^Assumptions!$H$15-1))/IF((Assumptions!$C$22+$P21)=0,1,Assumptions!$C$22+$P21)*(1-Assumptions!$C$23)-INDEX('Debt Schedule'!$C$8:$L$8,Assumptions!$H$15)-INDEX('Debt Schedule'!$C$19:$L$19,Assumptions!$H$15),0))</f>
        <v>0</v>
      </c>
      <c r="G21" s="98" t="n">
        <f aca="false" t="array" ref="G21:G21">IF(G$2&gt;Assumptions!$H$15,0,(INDEX('Pro Forma'!$D$26:$M$26,G$2)+INDEX('Pro Forma'!$D$9:$M$9,G$2)*(((1+Assumptions!$H$16+$O21)/(1+Assumptions!$H$16))^G$2-1))-IF(Assumptions!$C$37=1,Assumptions!$C$68,IF(Assumptions!$C$37=2,Assumptions!$C$69,IF(G$2&lt;=Assumptions!$C$41,Assumptions!$C$68,Assumptions!$C$69)))-Assumptions!$C$58-IF(Assumptions!$C$28=1,IF(G$2=1,Assumptions!$C$26,0),Assumptions!$C$26/Assumptions!$H$15)-Assumptions!$C$33+IF(G$2=Assumptions!$H$15,(INDEX('Pro Forma'!$D$26:$M$26,Assumptions!$H$15)+INDEX('Pro Forma'!$D$9:$M$9,Assumptions!$H$15)*(((1+Assumptions!$H$16+$O21)/(1+Assumptions!$H$16))^Assumptions!$H$15-1))/IF((Assumptions!$C$22+$P21)=0,1,Assumptions!$C$22+$P21)*(1-Assumptions!$C$23)-INDEX('Debt Schedule'!$C$8:$L$8,Assumptions!$H$15)-INDEX('Debt Schedule'!$C$19:$L$19,Assumptions!$H$15),0))</f>
        <v>0</v>
      </c>
      <c r="H21" s="98" t="n">
        <f aca="false" t="array" ref="H21:H21">IF(H$2&gt;Assumptions!$H$15,0,(INDEX('Pro Forma'!$D$26:$M$26,H$2)+INDEX('Pro Forma'!$D$9:$M$9,H$2)*(((1+Assumptions!$H$16+$O21)/(1+Assumptions!$H$16))^H$2-1))-IF(Assumptions!$C$37=1,Assumptions!$C$68,IF(Assumptions!$C$37=2,Assumptions!$C$69,IF(H$2&lt;=Assumptions!$C$41,Assumptions!$C$68,Assumptions!$C$69)))-Assumptions!$C$58-IF(Assumptions!$C$28=1,IF(H$2=1,Assumptions!$C$26,0),Assumptions!$C$26/Assumptions!$H$15)-Assumptions!$C$33+IF(H$2=Assumptions!$H$15,(INDEX('Pro Forma'!$D$26:$M$26,Assumptions!$H$15)+INDEX('Pro Forma'!$D$9:$M$9,Assumptions!$H$15)*(((1+Assumptions!$H$16+$O21)/(1+Assumptions!$H$16))^Assumptions!$H$15-1))/IF((Assumptions!$C$22+$P21)=0,1,Assumptions!$C$22+$P21)*(1-Assumptions!$C$23)-INDEX('Debt Schedule'!$C$8:$L$8,Assumptions!$H$15)-INDEX('Debt Schedule'!$C$19:$L$19,Assumptions!$H$15),0))</f>
        <v>0</v>
      </c>
      <c r="I21" s="98" t="n">
        <f aca="false" t="array" ref="I21:I21">IF(I$2&gt;Assumptions!$H$15,0,(INDEX('Pro Forma'!$D$26:$M$26,I$2)+INDEX('Pro Forma'!$D$9:$M$9,I$2)*(((1+Assumptions!$H$16+$O21)/(1+Assumptions!$H$16))^I$2-1))-IF(Assumptions!$C$37=1,Assumptions!$C$68,IF(Assumptions!$C$37=2,Assumptions!$C$69,IF(I$2&lt;=Assumptions!$C$41,Assumptions!$C$68,Assumptions!$C$69)))-Assumptions!$C$58-IF(Assumptions!$C$28=1,IF(I$2=1,Assumptions!$C$26,0),Assumptions!$C$26/Assumptions!$H$15)-Assumptions!$C$33+IF(I$2=Assumptions!$H$15,(INDEX('Pro Forma'!$D$26:$M$26,Assumptions!$H$15)+INDEX('Pro Forma'!$D$9:$M$9,Assumptions!$H$15)*(((1+Assumptions!$H$16+$O21)/(1+Assumptions!$H$16))^Assumptions!$H$15-1))/IF((Assumptions!$C$22+$P21)=0,1,Assumptions!$C$22+$P21)*(1-Assumptions!$C$23)-INDEX('Debt Schedule'!$C$8:$L$8,Assumptions!$H$15)-INDEX('Debt Schedule'!$C$19:$L$19,Assumptions!$H$15),0))</f>
        <v>0</v>
      </c>
      <c r="J21" s="98" t="n">
        <f aca="false" t="array" ref="J21:J21">IF(J$2&gt;Assumptions!$H$15,0,(INDEX('Pro Forma'!$D$26:$M$26,J$2)+INDEX('Pro Forma'!$D$9:$M$9,J$2)*(((1+Assumptions!$H$16+$O21)/(1+Assumptions!$H$16))^J$2-1))-IF(Assumptions!$C$37=1,Assumptions!$C$68,IF(Assumptions!$C$37=2,Assumptions!$C$69,IF(J$2&lt;=Assumptions!$C$41,Assumptions!$C$68,Assumptions!$C$69)))-Assumptions!$C$58-IF(Assumptions!$C$28=1,IF(J$2=1,Assumptions!$C$26,0),Assumptions!$C$26/Assumptions!$H$15)-Assumptions!$C$33+IF(J$2=Assumptions!$H$15,(INDEX('Pro Forma'!$D$26:$M$26,Assumptions!$H$15)+INDEX('Pro Forma'!$D$9:$M$9,Assumptions!$H$15)*(((1+Assumptions!$H$16+$O21)/(1+Assumptions!$H$16))^Assumptions!$H$15-1))/IF((Assumptions!$C$22+$P21)=0,1,Assumptions!$C$22+$P21)*(1-Assumptions!$C$23)-INDEX('Debt Schedule'!$C$8:$L$8,Assumptions!$H$15)-INDEX('Debt Schedule'!$C$19:$L$19,Assumptions!$H$15),0))</f>
        <v>0</v>
      </c>
      <c r="K21" s="98" t="n">
        <f aca="false" t="array" ref="K21:K21">IF(K$2&gt;Assumptions!$H$15,0,(INDEX('Pro Forma'!$D$26:$M$26,K$2)+INDEX('Pro Forma'!$D$9:$M$9,K$2)*(((1+Assumptions!$H$16+$O21)/(1+Assumptions!$H$16))^K$2-1))-IF(Assumptions!$C$37=1,Assumptions!$C$68,IF(Assumptions!$C$37=2,Assumptions!$C$69,IF(K$2&lt;=Assumptions!$C$41,Assumptions!$C$68,Assumptions!$C$69)))-Assumptions!$C$58-IF(Assumptions!$C$28=1,IF(K$2=1,Assumptions!$C$26,0),Assumptions!$C$26/Assumptions!$H$15)-Assumptions!$C$33+IF(K$2=Assumptions!$H$15,(INDEX('Pro Forma'!$D$26:$M$26,Assumptions!$H$15)+INDEX('Pro Forma'!$D$9:$M$9,Assumptions!$H$15)*(((1+Assumptions!$H$16+$O21)/(1+Assumptions!$H$16))^Assumptions!$H$15-1))/IF((Assumptions!$C$22+$P21)=0,1,Assumptions!$C$22+$P21)*(1-Assumptions!$C$23)-INDEX('Debt Schedule'!$C$8:$L$8,Assumptions!$H$15)-INDEX('Debt Schedule'!$C$19:$L$19,Assumptions!$H$15),0))</f>
        <v>0</v>
      </c>
      <c r="L21" s="98" t="n">
        <f aca="false" t="array" ref="L21:L21">IF(L$2&gt;Assumptions!$H$15,0,(INDEX('Pro Forma'!$D$26:$M$26,L$2)+INDEX('Pro Forma'!$D$9:$M$9,L$2)*(((1+Assumptions!$H$16+$O21)/(1+Assumptions!$H$16))^L$2-1))-IF(Assumptions!$C$37=1,Assumptions!$C$68,IF(Assumptions!$C$37=2,Assumptions!$C$69,IF(L$2&lt;=Assumptions!$C$41,Assumptions!$C$68,Assumptions!$C$69)))-Assumptions!$C$58-IF(Assumptions!$C$28=1,IF(L$2=1,Assumptions!$C$26,0),Assumptions!$C$26/Assumptions!$H$15)-Assumptions!$C$33+IF(L$2=Assumptions!$H$15,(INDEX('Pro Forma'!$D$26:$M$26,Assumptions!$H$15)+INDEX('Pro Forma'!$D$9:$M$9,Assumptions!$H$15)*(((1+Assumptions!$H$16+$O21)/(1+Assumptions!$H$16))^Assumptions!$H$15-1))/IF((Assumptions!$C$22+$P21)=0,1,Assumptions!$C$22+$P21)*(1-Assumptions!$C$23)-INDEX('Debt Schedule'!$C$8:$L$8,Assumptions!$H$15)-INDEX('Debt Schedule'!$C$19:$L$19,Assumptions!$H$15),0))</f>
        <v>0</v>
      </c>
      <c r="M21" s="98" t="n">
        <f aca="false" t="array" ref="M21:M21">IF(M$2&gt;Assumptions!$H$15,0,(INDEX('Pro Forma'!$D$26:$M$26,M$2)+INDEX('Pro Forma'!$D$9:$M$9,M$2)*(((1+Assumptions!$H$16+$O21)/(1+Assumptions!$H$16))^M$2-1))-IF(Assumptions!$C$37=1,Assumptions!$C$68,IF(Assumptions!$C$37=2,Assumptions!$C$69,IF(M$2&lt;=Assumptions!$C$41,Assumptions!$C$68,Assumptions!$C$69)))-Assumptions!$C$58-IF(Assumptions!$C$28=1,IF(M$2=1,Assumptions!$C$26,0),Assumptions!$C$26/Assumptions!$H$15)-Assumptions!$C$33+IF(M$2=Assumptions!$H$15,(INDEX('Pro Forma'!$D$26:$M$26,Assumptions!$H$15)+INDEX('Pro Forma'!$D$9:$M$9,Assumptions!$H$15)*(((1+Assumptions!$H$16+$O21)/(1+Assumptions!$H$16))^Assumptions!$H$15-1))/IF((Assumptions!$C$22+$P21)=0,1,Assumptions!$C$22+$P21)*(1-Assumptions!$C$23)-INDEX('Debt Schedule'!$C$8:$L$8,Assumptions!$H$15)-INDEX('Debt Schedule'!$C$19:$L$19,Assumptions!$H$15),0))</f>
        <v>0</v>
      </c>
      <c r="N21" s="99" t="n">
        <f aca="false">IFERROR(IRR(C21:M21),0)</f>
        <v>0</v>
      </c>
      <c r="O21" s="100" t="n">
        <f aca="false">(MOD(ROW()-3,5)-2)*0.005</f>
        <v>0.005</v>
      </c>
      <c r="P21" s="100" t="n">
        <f aca="false">(INT((ROW()-3)/5)-2)*0.0025</f>
        <v>0.0025</v>
      </c>
    </row>
    <row r="22" customFormat="false" ht="15" hidden="false" customHeight="true" outlineLevel="0" collapsed="false">
      <c r="C22" s="98" t="n">
        <f aca="false">-Assumptions!$C$70</f>
        <v>-0</v>
      </c>
      <c r="D22" s="98" t="n">
        <f aca="false" t="array" ref="D22:D22">IF(D$2&gt;Assumptions!$H$15,0,(INDEX('Pro Forma'!$D$26:$M$26,D$2)+INDEX('Pro Forma'!$D$9:$M$9,D$2)*(((1+Assumptions!$H$16+$O22)/(1+Assumptions!$H$16))^D$2-1))-IF(Assumptions!$C$37=1,Assumptions!$C$68,IF(Assumptions!$C$37=2,Assumptions!$C$69,IF(D$2&lt;=Assumptions!$C$41,Assumptions!$C$68,Assumptions!$C$69)))-Assumptions!$C$58-IF(Assumptions!$C$28=1,IF(D$2=1,Assumptions!$C$26,0),Assumptions!$C$26/Assumptions!$H$15)-Assumptions!$C$33+IF(D$2=Assumptions!$H$15,(INDEX('Pro Forma'!$D$26:$M$26,Assumptions!$H$15)+INDEX('Pro Forma'!$D$9:$M$9,Assumptions!$H$15)*(((1+Assumptions!$H$16+$O22)/(1+Assumptions!$H$16))^Assumptions!$H$15-1))/IF((Assumptions!$C$22+$P22)=0,1,Assumptions!$C$22+$P22)*(1-Assumptions!$C$23)-INDEX('Debt Schedule'!$C$8:$L$8,Assumptions!$H$15)-INDEX('Debt Schedule'!$C$19:$L$19,Assumptions!$H$15),0))</f>
        <v>0</v>
      </c>
      <c r="E22" s="98" t="n">
        <f aca="false" t="array" ref="E22:E22">IF(E$2&gt;Assumptions!$H$15,0,(INDEX('Pro Forma'!$D$26:$M$26,E$2)+INDEX('Pro Forma'!$D$9:$M$9,E$2)*(((1+Assumptions!$H$16+$O22)/(1+Assumptions!$H$16))^E$2-1))-IF(Assumptions!$C$37=1,Assumptions!$C$68,IF(Assumptions!$C$37=2,Assumptions!$C$69,IF(E$2&lt;=Assumptions!$C$41,Assumptions!$C$68,Assumptions!$C$69)))-Assumptions!$C$58-IF(Assumptions!$C$28=1,IF(E$2=1,Assumptions!$C$26,0),Assumptions!$C$26/Assumptions!$H$15)-Assumptions!$C$33+IF(E$2=Assumptions!$H$15,(INDEX('Pro Forma'!$D$26:$M$26,Assumptions!$H$15)+INDEX('Pro Forma'!$D$9:$M$9,Assumptions!$H$15)*(((1+Assumptions!$H$16+$O22)/(1+Assumptions!$H$16))^Assumptions!$H$15-1))/IF((Assumptions!$C$22+$P22)=0,1,Assumptions!$C$22+$P22)*(1-Assumptions!$C$23)-INDEX('Debt Schedule'!$C$8:$L$8,Assumptions!$H$15)-INDEX('Debt Schedule'!$C$19:$L$19,Assumptions!$H$15),0))</f>
        <v>0</v>
      </c>
      <c r="F22" s="98" t="n">
        <f aca="false" t="array" ref="F22:F22">IF(F$2&gt;Assumptions!$H$15,0,(INDEX('Pro Forma'!$D$26:$M$26,F$2)+INDEX('Pro Forma'!$D$9:$M$9,F$2)*(((1+Assumptions!$H$16+$O22)/(1+Assumptions!$H$16))^F$2-1))-IF(Assumptions!$C$37=1,Assumptions!$C$68,IF(Assumptions!$C$37=2,Assumptions!$C$69,IF(F$2&lt;=Assumptions!$C$41,Assumptions!$C$68,Assumptions!$C$69)))-Assumptions!$C$58-IF(Assumptions!$C$28=1,IF(F$2=1,Assumptions!$C$26,0),Assumptions!$C$26/Assumptions!$H$15)-Assumptions!$C$33+IF(F$2=Assumptions!$H$15,(INDEX('Pro Forma'!$D$26:$M$26,Assumptions!$H$15)+INDEX('Pro Forma'!$D$9:$M$9,Assumptions!$H$15)*(((1+Assumptions!$H$16+$O22)/(1+Assumptions!$H$16))^Assumptions!$H$15-1))/IF((Assumptions!$C$22+$P22)=0,1,Assumptions!$C$22+$P22)*(1-Assumptions!$C$23)-INDEX('Debt Schedule'!$C$8:$L$8,Assumptions!$H$15)-INDEX('Debt Schedule'!$C$19:$L$19,Assumptions!$H$15),0))</f>
        <v>0</v>
      </c>
      <c r="G22" s="98" t="n">
        <f aca="false" t="array" ref="G22:G22">IF(G$2&gt;Assumptions!$H$15,0,(INDEX('Pro Forma'!$D$26:$M$26,G$2)+INDEX('Pro Forma'!$D$9:$M$9,G$2)*(((1+Assumptions!$H$16+$O22)/(1+Assumptions!$H$16))^G$2-1))-IF(Assumptions!$C$37=1,Assumptions!$C$68,IF(Assumptions!$C$37=2,Assumptions!$C$69,IF(G$2&lt;=Assumptions!$C$41,Assumptions!$C$68,Assumptions!$C$69)))-Assumptions!$C$58-IF(Assumptions!$C$28=1,IF(G$2=1,Assumptions!$C$26,0),Assumptions!$C$26/Assumptions!$H$15)-Assumptions!$C$33+IF(G$2=Assumptions!$H$15,(INDEX('Pro Forma'!$D$26:$M$26,Assumptions!$H$15)+INDEX('Pro Forma'!$D$9:$M$9,Assumptions!$H$15)*(((1+Assumptions!$H$16+$O22)/(1+Assumptions!$H$16))^Assumptions!$H$15-1))/IF((Assumptions!$C$22+$P22)=0,1,Assumptions!$C$22+$P22)*(1-Assumptions!$C$23)-INDEX('Debt Schedule'!$C$8:$L$8,Assumptions!$H$15)-INDEX('Debt Schedule'!$C$19:$L$19,Assumptions!$H$15),0))</f>
        <v>0</v>
      </c>
      <c r="H22" s="98" t="n">
        <f aca="false" t="array" ref="H22:H22">IF(H$2&gt;Assumptions!$H$15,0,(INDEX('Pro Forma'!$D$26:$M$26,H$2)+INDEX('Pro Forma'!$D$9:$M$9,H$2)*(((1+Assumptions!$H$16+$O22)/(1+Assumptions!$H$16))^H$2-1))-IF(Assumptions!$C$37=1,Assumptions!$C$68,IF(Assumptions!$C$37=2,Assumptions!$C$69,IF(H$2&lt;=Assumptions!$C$41,Assumptions!$C$68,Assumptions!$C$69)))-Assumptions!$C$58-IF(Assumptions!$C$28=1,IF(H$2=1,Assumptions!$C$26,0),Assumptions!$C$26/Assumptions!$H$15)-Assumptions!$C$33+IF(H$2=Assumptions!$H$15,(INDEX('Pro Forma'!$D$26:$M$26,Assumptions!$H$15)+INDEX('Pro Forma'!$D$9:$M$9,Assumptions!$H$15)*(((1+Assumptions!$H$16+$O22)/(1+Assumptions!$H$16))^Assumptions!$H$15-1))/IF((Assumptions!$C$22+$P22)=0,1,Assumptions!$C$22+$P22)*(1-Assumptions!$C$23)-INDEX('Debt Schedule'!$C$8:$L$8,Assumptions!$H$15)-INDEX('Debt Schedule'!$C$19:$L$19,Assumptions!$H$15),0))</f>
        <v>0</v>
      </c>
      <c r="I22" s="98" t="n">
        <f aca="false" t="array" ref="I22:I22">IF(I$2&gt;Assumptions!$H$15,0,(INDEX('Pro Forma'!$D$26:$M$26,I$2)+INDEX('Pro Forma'!$D$9:$M$9,I$2)*(((1+Assumptions!$H$16+$O22)/(1+Assumptions!$H$16))^I$2-1))-IF(Assumptions!$C$37=1,Assumptions!$C$68,IF(Assumptions!$C$37=2,Assumptions!$C$69,IF(I$2&lt;=Assumptions!$C$41,Assumptions!$C$68,Assumptions!$C$69)))-Assumptions!$C$58-IF(Assumptions!$C$28=1,IF(I$2=1,Assumptions!$C$26,0),Assumptions!$C$26/Assumptions!$H$15)-Assumptions!$C$33+IF(I$2=Assumptions!$H$15,(INDEX('Pro Forma'!$D$26:$M$26,Assumptions!$H$15)+INDEX('Pro Forma'!$D$9:$M$9,Assumptions!$H$15)*(((1+Assumptions!$H$16+$O22)/(1+Assumptions!$H$16))^Assumptions!$H$15-1))/IF((Assumptions!$C$22+$P22)=0,1,Assumptions!$C$22+$P22)*(1-Assumptions!$C$23)-INDEX('Debt Schedule'!$C$8:$L$8,Assumptions!$H$15)-INDEX('Debt Schedule'!$C$19:$L$19,Assumptions!$H$15),0))</f>
        <v>0</v>
      </c>
      <c r="J22" s="98" t="n">
        <f aca="false" t="array" ref="J22:J22">IF(J$2&gt;Assumptions!$H$15,0,(INDEX('Pro Forma'!$D$26:$M$26,J$2)+INDEX('Pro Forma'!$D$9:$M$9,J$2)*(((1+Assumptions!$H$16+$O22)/(1+Assumptions!$H$16))^J$2-1))-IF(Assumptions!$C$37=1,Assumptions!$C$68,IF(Assumptions!$C$37=2,Assumptions!$C$69,IF(J$2&lt;=Assumptions!$C$41,Assumptions!$C$68,Assumptions!$C$69)))-Assumptions!$C$58-IF(Assumptions!$C$28=1,IF(J$2=1,Assumptions!$C$26,0),Assumptions!$C$26/Assumptions!$H$15)-Assumptions!$C$33+IF(J$2=Assumptions!$H$15,(INDEX('Pro Forma'!$D$26:$M$26,Assumptions!$H$15)+INDEX('Pro Forma'!$D$9:$M$9,Assumptions!$H$15)*(((1+Assumptions!$H$16+$O22)/(1+Assumptions!$H$16))^Assumptions!$H$15-1))/IF((Assumptions!$C$22+$P22)=0,1,Assumptions!$C$22+$P22)*(1-Assumptions!$C$23)-INDEX('Debt Schedule'!$C$8:$L$8,Assumptions!$H$15)-INDEX('Debt Schedule'!$C$19:$L$19,Assumptions!$H$15),0))</f>
        <v>0</v>
      </c>
      <c r="K22" s="98" t="n">
        <f aca="false" t="array" ref="K22:K22">IF(K$2&gt;Assumptions!$H$15,0,(INDEX('Pro Forma'!$D$26:$M$26,K$2)+INDEX('Pro Forma'!$D$9:$M$9,K$2)*(((1+Assumptions!$H$16+$O22)/(1+Assumptions!$H$16))^K$2-1))-IF(Assumptions!$C$37=1,Assumptions!$C$68,IF(Assumptions!$C$37=2,Assumptions!$C$69,IF(K$2&lt;=Assumptions!$C$41,Assumptions!$C$68,Assumptions!$C$69)))-Assumptions!$C$58-IF(Assumptions!$C$28=1,IF(K$2=1,Assumptions!$C$26,0),Assumptions!$C$26/Assumptions!$H$15)-Assumptions!$C$33+IF(K$2=Assumptions!$H$15,(INDEX('Pro Forma'!$D$26:$M$26,Assumptions!$H$15)+INDEX('Pro Forma'!$D$9:$M$9,Assumptions!$H$15)*(((1+Assumptions!$H$16+$O22)/(1+Assumptions!$H$16))^Assumptions!$H$15-1))/IF((Assumptions!$C$22+$P22)=0,1,Assumptions!$C$22+$P22)*(1-Assumptions!$C$23)-INDEX('Debt Schedule'!$C$8:$L$8,Assumptions!$H$15)-INDEX('Debt Schedule'!$C$19:$L$19,Assumptions!$H$15),0))</f>
        <v>0</v>
      </c>
      <c r="L22" s="98" t="n">
        <f aca="false" t="array" ref="L22:L22">IF(L$2&gt;Assumptions!$H$15,0,(INDEX('Pro Forma'!$D$26:$M$26,L$2)+INDEX('Pro Forma'!$D$9:$M$9,L$2)*(((1+Assumptions!$H$16+$O22)/(1+Assumptions!$H$16))^L$2-1))-IF(Assumptions!$C$37=1,Assumptions!$C$68,IF(Assumptions!$C$37=2,Assumptions!$C$69,IF(L$2&lt;=Assumptions!$C$41,Assumptions!$C$68,Assumptions!$C$69)))-Assumptions!$C$58-IF(Assumptions!$C$28=1,IF(L$2=1,Assumptions!$C$26,0),Assumptions!$C$26/Assumptions!$H$15)-Assumptions!$C$33+IF(L$2=Assumptions!$H$15,(INDEX('Pro Forma'!$D$26:$M$26,Assumptions!$H$15)+INDEX('Pro Forma'!$D$9:$M$9,Assumptions!$H$15)*(((1+Assumptions!$H$16+$O22)/(1+Assumptions!$H$16))^Assumptions!$H$15-1))/IF((Assumptions!$C$22+$P22)=0,1,Assumptions!$C$22+$P22)*(1-Assumptions!$C$23)-INDEX('Debt Schedule'!$C$8:$L$8,Assumptions!$H$15)-INDEX('Debt Schedule'!$C$19:$L$19,Assumptions!$H$15),0))</f>
        <v>0</v>
      </c>
      <c r="M22" s="98" t="n">
        <f aca="false" t="array" ref="M22:M22">IF(M$2&gt;Assumptions!$H$15,0,(INDEX('Pro Forma'!$D$26:$M$26,M$2)+INDEX('Pro Forma'!$D$9:$M$9,M$2)*(((1+Assumptions!$H$16+$O22)/(1+Assumptions!$H$16))^M$2-1))-IF(Assumptions!$C$37=1,Assumptions!$C$68,IF(Assumptions!$C$37=2,Assumptions!$C$69,IF(M$2&lt;=Assumptions!$C$41,Assumptions!$C$68,Assumptions!$C$69)))-Assumptions!$C$58-IF(Assumptions!$C$28=1,IF(M$2=1,Assumptions!$C$26,0),Assumptions!$C$26/Assumptions!$H$15)-Assumptions!$C$33+IF(M$2=Assumptions!$H$15,(INDEX('Pro Forma'!$D$26:$M$26,Assumptions!$H$15)+INDEX('Pro Forma'!$D$9:$M$9,Assumptions!$H$15)*(((1+Assumptions!$H$16+$O22)/(1+Assumptions!$H$16))^Assumptions!$H$15-1))/IF((Assumptions!$C$22+$P22)=0,1,Assumptions!$C$22+$P22)*(1-Assumptions!$C$23)-INDEX('Debt Schedule'!$C$8:$L$8,Assumptions!$H$15)-INDEX('Debt Schedule'!$C$19:$L$19,Assumptions!$H$15),0))</f>
        <v>0</v>
      </c>
      <c r="N22" s="99" t="n">
        <f aca="false">IFERROR(IRR(C22:M22),0)</f>
        <v>0</v>
      </c>
      <c r="O22" s="100" t="n">
        <f aca="false">(MOD(ROW()-3,5)-2)*0.005</f>
        <v>0.01</v>
      </c>
      <c r="P22" s="100" t="n">
        <f aca="false">(INT((ROW()-3)/5)-2)*0.0025</f>
        <v>0.0025</v>
      </c>
    </row>
    <row r="23" customFormat="false" ht="15" hidden="false" customHeight="true" outlineLevel="0" collapsed="false">
      <c r="C23" s="98" t="n">
        <f aca="false">-Assumptions!$C$70</f>
        <v>-0</v>
      </c>
      <c r="D23" s="98" t="n">
        <f aca="false" t="array" ref="D23:D23">IF(D$2&gt;Assumptions!$H$15,0,(INDEX('Pro Forma'!$D$26:$M$26,D$2)+INDEX('Pro Forma'!$D$9:$M$9,D$2)*(((1+Assumptions!$H$16+$O23)/(1+Assumptions!$H$16))^D$2-1))-IF(Assumptions!$C$37=1,Assumptions!$C$68,IF(Assumptions!$C$37=2,Assumptions!$C$69,IF(D$2&lt;=Assumptions!$C$41,Assumptions!$C$68,Assumptions!$C$69)))-Assumptions!$C$58-IF(Assumptions!$C$28=1,IF(D$2=1,Assumptions!$C$26,0),Assumptions!$C$26/Assumptions!$H$15)-Assumptions!$C$33+IF(D$2=Assumptions!$H$15,(INDEX('Pro Forma'!$D$26:$M$26,Assumptions!$H$15)+INDEX('Pro Forma'!$D$9:$M$9,Assumptions!$H$15)*(((1+Assumptions!$H$16+$O23)/(1+Assumptions!$H$16))^Assumptions!$H$15-1))/IF((Assumptions!$C$22+$P23)=0,1,Assumptions!$C$22+$P23)*(1-Assumptions!$C$23)-INDEX('Debt Schedule'!$C$8:$L$8,Assumptions!$H$15)-INDEX('Debt Schedule'!$C$19:$L$19,Assumptions!$H$15),0))</f>
        <v>0</v>
      </c>
      <c r="E23" s="98" t="n">
        <f aca="false" t="array" ref="E23:E23">IF(E$2&gt;Assumptions!$H$15,0,(INDEX('Pro Forma'!$D$26:$M$26,E$2)+INDEX('Pro Forma'!$D$9:$M$9,E$2)*(((1+Assumptions!$H$16+$O23)/(1+Assumptions!$H$16))^E$2-1))-IF(Assumptions!$C$37=1,Assumptions!$C$68,IF(Assumptions!$C$37=2,Assumptions!$C$69,IF(E$2&lt;=Assumptions!$C$41,Assumptions!$C$68,Assumptions!$C$69)))-Assumptions!$C$58-IF(Assumptions!$C$28=1,IF(E$2=1,Assumptions!$C$26,0),Assumptions!$C$26/Assumptions!$H$15)-Assumptions!$C$33+IF(E$2=Assumptions!$H$15,(INDEX('Pro Forma'!$D$26:$M$26,Assumptions!$H$15)+INDEX('Pro Forma'!$D$9:$M$9,Assumptions!$H$15)*(((1+Assumptions!$H$16+$O23)/(1+Assumptions!$H$16))^Assumptions!$H$15-1))/IF((Assumptions!$C$22+$P23)=0,1,Assumptions!$C$22+$P23)*(1-Assumptions!$C$23)-INDEX('Debt Schedule'!$C$8:$L$8,Assumptions!$H$15)-INDEX('Debt Schedule'!$C$19:$L$19,Assumptions!$H$15),0))</f>
        <v>0</v>
      </c>
      <c r="F23" s="98" t="n">
        <f aca="false" t="array" ref="F23:F23">IF(F$2&gt;Assumptions!$H$15,0,(INDEX('Pro Forma'!$D$26:$M$26,F$2)+INDEX('Pro Forma'!$D$9:$M$9,F$2)*(((1+Assumptions!$H$16+$O23)/(1+Assumptions!$H$16))^F$2-1))-IF(Assumptions!$C$37=1,Assumptions!$C$68,IF(Assumptions!$C$37=2,Assumptions!$C$69,IF(F$2&lt;=Assumptions!$C$41,Assumptions!$C$68,Assumptions!$C$69)))-Assumptions!$C$58-IF(Assumptions!$C$28=1,IF(F$2=1,Assumptions!$C$26,0),Assumptions!$C$26/Assumptions!$H$15)-Assumptions!$C$33+IF(F$2=Assumptions!$H$15,(INDEX('Pro Forma'!$D$26:$M$26,Assumptions!$H$15)+INDEX('Pro Forma'!$D$9:$M$9,Assumptions!$H$15)*(((1+Assumptions!$H$16+$O23)/(1+Assumptions!$H$16))^Assumptions!$H$15-1))/IF((Assumptions!$C$22+$P23)=0,1,Assumptions!$C$22+$P23)*(1-Assumptions!$C$23)-INDEX('Debt Schedule'!$C$8:$L$8,Assumptions!$H$15)-INDEX('Debt Schedule'!$C$19:$L$19,Assumptions!$H$15),0))</f>
        <v>0</v>
      </c>
      <c r="G23" s="98" t="n">
        <f aca="false" t="array" ref="G23:G23">IF(G$2&gt;Assumptions!$H$15,0,(INDEX('Pro Forma'!$D$26:$M$26,G$2)+INDEX('Pro Forma'!$D$9:$M$9,G$2)*(((1+Assumptions!$H$16+$O23)/(1+Assumptions!$H$16))^G$2-1))-IF(Assumptions!$C$37=1,Assumptions!$C$68,IF(Assumptions!$C$37=2,Assumptions!$C$69,IF(G$2&lt;=Assumptions!$C$41,Assumptions!$C$68,Assumptions!$C$69)))-Assumptions!$C$58-IF(Assumptions!$C$28=1,IF(G$2=1,Assumptions!$C$26,0),Assumptions!$C$26/Assumptions!$H$15)-Assumptions!$C$33+IF(G$2=Assumptions!$H$15,(INDEX('Pro Forma'!$D$26:$M$26,Assumptions!$H$15)+INDEX('Pro Forma'!$D$9:$M$9,Assumptions!$H$15)*(((1+Assumptions!$H$16+$O23)/(1+Assumptions!$H$16))^Assumptions!$H$15-1))/IF((Assumptions!$C$22+$P23)=0,1,Assumptions!$C$22+$P23)*(1-Assumptions!$C$23)-INDEX('Debt Schedule'!$C$8:$L$8,Assumptions!$H$15)-INDEX('Debt Schedule'!$C$19:$L$19,Assumptions!$H$15),0))</f>
        <v>0</v>
      </c>
      <c r="H23" s="98" t="n">
        <f aca="false" t="array" ref="H23:H23">IF(H$2&gt;Assumptions!$H$15,0,(INDEX('Pro Forma'!$D$26:$M$26,H$2)+INDEX('Pro Forma'!$D$9:$M$9,H$2)*(((1+Assumptions!$H$16+$O23)/(1+Assumptions!$H$16))^H$2-1))-IF(Assumptions!$C$37=1,Assumptions!$C$68,IF(Assumptions!$C$37=2,Assumptions!$C$69,IF(H$2&lt;=Assumptions!$C$41,Assumptions!$C$68,Assumptions!$C$69)))-Assumptions!$C$58-IF(Assumptions!$C$28=1,IF(H$2=1,Assumptions!$C$26,0),Assumptions!$C$26/Assumptions!$H$15)-Assumptions!$C$33+IF(H$2=Assumptions!$H$15,(INDEX('Pro Forma'!$D$26:$M$26,Assumptions!$H$15)+INDEX('Pro Forma'!$D$9:$M$9,Assumptions!$H$15)*(((1+Assumptions!$H$16+$O23)/(1+Assumptions!$H$16))^Assumptions!$H$15-1))/IF((Assumptions!$C$22+$P23)=0,1,Assumptions!$C$22+$P23)*(1-Assumptions!$C$23)-INDEX('Debt Schedule'!$C$8:$L$8,Assumptions!$H$15)-INDEX('Debt Schedule'!$C$19:$L$19,Assumptions!$H$15),0))</f>
        <v>0</v>
      </c>
      <c r="I23" s="98" t="n">
        <f aca="false" t="array" ref="I23:I23">IF(I$2&gt;Assumptions!$H$15,0,(INDEX('Pro Forma'!$D$26:$M$26,I$2)+INDEX('Pro Forma'!$D$9:$M$9,I$2)*(((1+Assumptions!$H$16+$O23)/(1+Assumptions!$H$16))^I$2-1))-IF(Assumptions!$C$37=1,Assumptions!$C$68,IF(Assumptions!$C$37=2,Assumptions!$C$69,IF(I$2&lt;=Assumptions!$C$41,Assumptions!$C$68,Assumptions!$C$69)))-Assumptions!$C$58-IF(Assumptions!$C$28=1,IF(I$2=1,Assumptions!$C$26,0),Assumptions!$C$26/Assumptions!$H$15)-Assumptions!$C$33+IF(I$2=Assumptions!$H$15,(INDEX('Pro Forma'!$D$26:$M$26,Assumptions!$H$15)+INDEX('Pro Forma'!$D$9:$M$9,Assumptions!$H$15)*(((1+Assumptions!$H$16+$O23)/(1+Assumptions!$H$16))^Assumptions!$H$15-1))/IF((Assumptions!$C$22+$P23)=0,1,Assumptions!$C$22+$P23)*(1-Assumptions!$C$23)-INDEX('Debt Schedule'!$C$8:$L$8,Assumptions!$H$15)-INDEX('Debt Schedule'!$C$19:$L$19,Assumptions!$H$15),0))</f>
        <v>0</v>
      </c>
      <c r="J23" s="98" t="n">
        <f aca="false" t="array" ref="J23:J23">IF(J$2&gt;Assumptions!$H$15,0,(INDEX('Pro Forma'!$D$26:$M$26,J$2)+INDEX('Pro Forma'!$D$9:$M$9,J$2)*(((1+Assumptions!$H$16+$O23)/(1+Assumptions!$H$16))^J$2-1))-IF(Assumptions!$C$37=1,Assumptions!$C$68,IF(Assumptions!$C$37=2,Assumptions!$C$69,IF(J$2&lt;=Assumptions!$C$41,Assumptions!$C$68,Assumptions!$C$69)))-Assumptions!$C$58-IF(Assumptions!$C$28=1,IF(J$2=1,Assumptions!$C$26,0),Assumptions!$C$26/Assumptions!$H$15)-Assumptions!$C$33+IF(J$2=Assumptions!$H$15,(INDEX('Pro Forma'!$D$26:$M$26,Assumptions!$H$15)+INDEX('Pro Forma'!$D$9:$M$9,Assumptions!$H$15)*(((1+Assumptions!$H$16+$O23)/(1+Assumptions!$H$16))^Assumptions!$H$15-1))/IF((Assumptions!$C$22+$P23)=0,1,Assumptions!$C$22+$P23)*(1-Assumptions!$C$23)-INDEX('Debt Schedule'!$C$8:$L$8,Assumptions!$H$15)-INDEX('Debt Schedule'!$C$19:$L$19,Assumptions!$H$15),0))</f>
        <v>0</v>
      </c>
      <c r="K23" s="98" t="n">
        <f aca="false" t="array" ref="K23:K23">IF(K$2&gt;Assumptions!$H$15,0,(INDEX('Pro Forma'!$D$26:$M$26,K$2)+INDEX('Pro Forma'!$D$9:$M$9,K$2)*(((1+Assumptions!$H$16+$O23)/(1+Assumptions!$H$16))^K$2-1))-IF(Assumptions!$C$37=1,Assumptions!$C$68,IF(Assumptions!$C$37=2,Assumptions!$C$69,IF(K$2&lt;=Assumptions!$C$41,Assumptions!$C$68,Assumptions!$C$69)))-Assumptions!$C$58-IF(Assumptions!$C$28=1,IF(K$2=1,Assumptions!$C$26,0),Assumptions!$C$26/Assumptions!$H$15)-Assumptions!$C$33+IF(K$2=Assumptions!$H$15,(INDEX('Pro Forma'!$D$26:$M$26,Assumptions!$H$15)+INDEX('Pro Forma'!$D$9:$M$9,Assumptions!$H$15)*(((1+Assumptions!$H$16+$O23)/(1+Assumptions!$H$16))^Assumptions!$H$15-1))/IF((Assumptions!$C$22+$P23)=0,1,Assumptions!$C$22+$P23)*(1-Assumptions!$C$23)-INDEX('Debt Schedule'!$C$8:$L$8,Assumptions!$H$15)-INDEX('Debt Schedule'!$C$19:$L$19,Assumptions!$H$15),0))</f>
        <v>0</v>
      </c>
      <c r="L23" s="98" t="n">
        <f aca="false" t="array" ref="L23:L23">IF(L$2&gt;Assumptions!$H$15,0,(INDEX('Pro Forma'!$D$26:$M$26,L$2)+INDEX('Pro Forma'!$D$9:$M$9,L$2)*(((1+Assumptions!$H$16+$O23)/(1+Assumptions!$H$16))^L$2-1))-IF(Assumptions!$C$37=1,Assumptions!$C$68,IF(Assumptions!$C$37=2,Assumptions!$C$69,IF(L$2&lt;=Assumptions!$C$41,Assumptions!$C$68,Assumptions!$C$69)))-Assumptions!$C$58-IF(Assumptions!$C$28=1,IF(L$2=1,Assumptions!$C$26,0),Assumptions!$C$26/Assumptions!$H$15)-Assumptions!$C$33+IF(L$2=Assumptions!$H$15,(INDEX('Pro Forma'!$D$26:$M$26,Assumptions!$H$15)+INDEX('Pro Forma'!$D$9:$M$9,Assumptions!$H$15)*(((1+Assumptions!$H$16+$O23)/(1+Assumptions!$H$16))^Assumptions!$H$15-1))/IF((Assumptions!$C$22+$P23)=0,1,Assumptions!$C$22+$P23)*(1-Assumptions!$C$23)-INDEX('Debt Schedule'!$C$8:$L$8,Assumptions!$H$15)-INDEX('Debt Schedule'!$C$19:$L$19,Assumptions!$H$15),0))</f>
        <v>0</v>
      </c>
      <c r="M23" s="98" t="n">
        <f aca="false" t="array" ref="M23:M23">IF(M$2&gt;Assumptions!$H$15,0,(INDEX('Pro Forma'!$D$26:$M$26,M$2)+INDEX('Pro Forma'!$D$9:$M$9,M$2)*(((1+Assumptions!$H$16+$O23)/(1+Assumptions!$H$16))^M$2-1))-IF(Assumptions!$C$37=1,Assumptions!$C$68,IF(Assumptions!$C$37=2,Assumptions!$C$69,IF(M$2&lt;=Assumptions!$C$41,Assumptions!$C$68,Assumptions!$C$69)))-Assumptions!$C$58-IF(Assumptions!$C$28=1,IF(M$2=1,Assumptions!$C$26,0),Assumptions!$C$26/Assumptions!$H$15)-Assumptions!$C$33+IF(M$2=Assumptions!$H$15,(INDEX('Pro Forma'!$D$26:$M$26,Assumptions!$H$15)+INDEX('Pro Forma'!$D$9:$M$9,Assumptions!$H$15)*(((1+Assumptions!$H$16+$O23)/(1+Assumptions!$H$16))^Assumptions!$H$15-1))/IF((Assumptions!$C$22+$P23)=0,1,Assumptions!$C$22+$P23)*(1-Assumptions!$C$23)-INDEX('Debt Schedule'!$C$8:$L$8,Assumptions!$H$15)-INDEX('Debt Schedule'!$C$19:$L$19,Assumptions!$H$15),0))</f>
        <v>0</v>
      </c>
      <c r="N23" s="99" t="n">
        <f aca="false">IFERROR(IRR(C23:M23),0)</f>
        <v>0</v>
      </c>
      <c r="O23" s="100" t="n">
        <f aca="false">(MOD(ROW()-3,5)-2)*0.005</f>
        <v>-0.01</v>
      </c>
      <c r="P23" s="100" t="n">
        <f aca="false">(INT((ROW()-3)/5)-2)*0.0025</f>
        <v>0.005</v>
      </c>
    </row>
    <row r="24" customFormat="false" ht="15" hidden="false" customHeight="true" outlineLevel="0" collapsed="false">
      <c r="C24" s="98" t="n">
        <f aca="false">-Assumptions!$C$70</f>
        <v>-0</v>
      </c>
      <c r="D24" s="98" t="n">
        <f aca="false" t="array" ref="D24:D24">IF(D$2&gt;Assumptions!$H$15,0,(INDEX('Pro Forma'!$D$26:$M$26,D$2)+INDEX('Pro Forma'!$D$9:$M$9,D$2)*(((1+Assumptions!$H$16+$O24)/(1+Assumptions!$H$16))^D$2-1))-IF(Assumptions!$C$37=1,Assumptions!$C$68,IF(Assumptions!$C$37=2,Assumptions!$C$69,IF(D$2&lt;=Assumptions!$C$41,Assumptions!$C$68,Assumptions!$C$69)))-Assumptions!$C$58-IF(Assumptions!$C$28=1,IF(D$2=1,Assumptions!$C$26,0),Assumptions!$C$26/Assumptions!$H$15)-Assumptions!$C$33+IF(D$2=Assumptions!$H$15,(INDEX('Pro Forma'!$D$26:$M$26,Assumptions!$H$15)+INDEX('Pro Forma'!$D$9:$M$9,Assumptions!$H$15)*(((1+Assumptions!$H$16+$O24)/(1+Assumptions!$H$16))^Assumptions!$H$15-1))/IF((Assumptions!$C$22+$P24)=0,1,Assumptions!$C$22+$P24)*(1-Assumptions!$C$23)-INDEX('Debt Schedule'!$C$8:$L$8,Assumptions!$H$15)-INDEX('Debt Schedule'!$C$19:$L$19,Assumptions!$H$15),0))</f>
        <v>0</v>
      </c>
      <c r="E24" s="98" t="n">
        <f aca="false" t="array" ref="E24:E24">IF(E$2&gt;Assumptions!$H$15,0,(INDEX('Pro Forma'!$D$26:$M$26,E$2)+INDEX('Pro Forma'!$D$9:$M$9,E$2)*(((1+Assumptions!$H$16+$O24)/(1+Assumptions!$H$16))^E$2-1))-IF(Assumptions!$C$37=1,Assumptions!$C$68,IF(Assumptions!$C$37=2,Assumptions!$C$69,IF(E$2&lt;=Assumptions!$C$41,Assumptions!$C$68,Assumptions!$C$69)))-Assumptions!$C$58-IF(Assumptions!$C$28=1,IF(E$2=1,Assumptions!$C$26,0),Assumptions!$C$26/Assumptions!$H$15)-Assumptions!$C$33+IF(E$2=Assumptions!$H$15,(INDEX('Pro Forma'!$D$26:$M$26,Assumptions!$H$15)+INDEX('Pro Forma'!$D$9:$M$9,Assumptions!$H$15)*(((1+Assumptions!$H$16+$O24)/(1+Assumptions!$H$16))^Assumptions!$H$15-1))/IF((Assumptions!$C$22+$P24)=0,1,Assumptions!$C$22+$P24)*(1-Assumptions!$C$23)-INDEX('Debt Schedule'!$C$8:$L$8,Assumptions!$H$15)-INDEX('Debt Schedule'!$C$19:$L$19,Assumptions!$H$15),0))</f>
        <v>0</v>
      </c>
      <c r="F24" s="98" t="n">
        <f aca="false" t="array" ref="F24:F24">IF(F$2&gt;Assumptions!$H$15,0,(INDEX('Pro Forma'!$D$26:$M$26,F$2)+INDEX('Pro Forma'!$D$9:$M$9,F$2)*(((1+Assumptions!$H$16+$O24)/(1+Assumptions!$H$16))^F$2-1))-IF(Assumptions!$C$37=1,Assumptions!$C$68,IF(Assumptions!$C$37=2,Assumptions!$C$69,IF(F$2&lt;=Assumptions!$C$41,Assumptions!$C$68,Assumptions!$C$69)))-Assumptions!$C$58-IF(Assumptions!$C$28=1,IF(F$2=1,Assumptions!$C$26,0),Assumptions!$C$26/Assumptions!$H$15)-Assumptions!$C$33+IF(F$2=Assumptions!$H$15,(INDEX('Pro Forma'!$D$26:$M$26,Assumptions!$H$15)+INDEX('Pro Forma'!$D$9:$M$9,Assumptions!$H$15)*(((1+Assumptions!$H$16+$O24)/(1+Assumptions!$H$16))^Assumptions!$H$15-1))/IF((Assumptions!$C$22+$P24)=0,1,Assumptions!$C$22+$P24)*(1-Assumptions!$C$23)-INDEX('Debt Schedule'!$C$8:$L$8,Assumptions!$H$15)-INDEX('Debt Schedule'!$C$19:$L$19,Assumptions!$H$15),0))</f>
        <v>0</v>
      </c>
      <c r="G24" s="98" t="n">
        <f aca="false" t="array" ref="G24:G24">IF(G$2&gt;Assumptions!$H$15,0,(INDEX('Pro Forma'!$D$26:$M$26,G$2)+INDEX('Pro Forma'!$D$9:$M$9,G$2)*(((1+Assumptions!$H$16+$O24)/(1+Assumptions!$H$16))^G$2-1))-IF(Assumptions!$C$37=1,Assumptions!$C$68,IF(Assumptions!$C$37=2,Assumptions!$C$69,IF(G$2&lt;=Assumptions!$C$41,Assumptions!$C$68,Assumptions!$C$69)))-Assumptions!$C$58-IF(Assumptions!$C$28=1,IF(G$2=1,Assumptions!$C$26,0),Assumptions!$C$26/Assumptions!$H$15)-Assumptions!$C$33+IF(G$2=Assumptions!$H$15,(INDEX('Pro Forma'!$D$26:$M$26,Assumptions!$H$15)+INDEX('Pro Forma'!$D$9:$M$9,Assumptions!$H$15)*(((1+Assumptions!$H$16+$O24)/(1+Assumptions!$H$16))^Assumptions!$H$15-1))/IF((Assumptions!$C$22+$P24)=0,1,Assumptions!$C$22+$P24)*(1-Assumptions!$C$23)-INDEX('Debt Schedule'!$C$8:$L$8,Assumptions!$H$15)-INDEX('Debt Schedule'!$C$19:$L$19,Assumptions!$H$15),0))</f>
        <v>0</v>
      </c>
      <c r="H24" s="98" t="n">
        <f aca="false" t="array" ref="H24:H24">IF(H$2&gt;Assumptions!$H$15,0,(INDEX('Pro Forma'!$D$26:$M$26,H$2)+INDEX('Pro Forma'!$D$9:$M$9,H$2)*(((1+Assumptions!$H$16+$O24)/(1+Assumptions!$H$16))^H$2-1))-IF(Assumptions!$C$37=1,Assumptions!$C$68,IF(Assumptions!$C$37=2,Assumptions!$C$69,IF(H$2&lt;=Assumptions!$C$41,Assumptions!$C$68,Assumptions!$C$69)))-Assumptions!$C$58-IF(Assumptions!$C$28=1,IF(H$2=1,Assumptions!$C$26,0),Assumptions!$C$26/Assumptions!$H$15)-Assumptions!$C$33+IF(H$2=Assumptions!$H$15,(INDEX('Pro Forma'!$D$26:$M$26,Assumptions!$H$15)+INDEX('Pro Forma'!$D$9:$M$9,Assumptions!$H$15)*(((1+Assumptions!$H$16+$O24)/(1+Assumptions!$H$16))^Assumptions!$H$15-1))/IF((Assumptions!$C$22+$P24)=0,1,Assumptions!$C$22+$P24)*(1-Assumptions!$C$23)-INDEX('Debt Schedule'!$C$8:$L$8,Assumptions!$H$15)-INDEX('Debt Schedule'!$C$19:$L$19,Assumptions!$H$15),0))</f>
        <v>0</v>
      </c>
      <c r="I24" s="98" t="n">
        <f aca="false" t="array" ref="I24:I24">IF(I$2&gt;Assumptions!$H$15,0,(INDEX('Pro Forma'!$D$26:$M$26,I$2)+INDEX('Pro Forma'!$D$9:$M$9,I$2)*(((1+Assumptions!$H$16+$O24)/(1+Assumptions!$H$16))^I$2-1))-IF(Assumptions!$C$37=1,Assumptions!$C$68,IF(Assumptions!$C$37=2,Assumptions!$C$69,IF(I$2&lt;=Assumptions!$C$41,Assumptions!$C$68,Assumptions!$C$69)))-Assumptions!$C$58-IF(Assumptions!$C$28=1,IF(I$2=1,Assumptions!$C$26,0),Assumptions!$C$26/Assumptions!$H$15)-Assumptions!$C$33+IF(I$2=Assumptions!$H$15,(INDEX('Pro Forma'!$D$26:$M$26,Assumptions!$H$15)+INDEX('Pro Forma'!$D$9:$M$9,Assumptions!$H$15)*(((1+Assumptions!$H$16+$O24)/(1+Assumptions!$H$16))^Assumptions!$H$15-1))/IF((Assumptions!$C$22+$P24)=0,1,Assumptions!$C$22+$P24)*(1-Assumptions!$C$23)-INDEX('Debt Schedule'!$C$8:$L$8,Assumptions!$H$15)-INDEX('Debt Schedule'!$C$19:$L$19,Assumptions!$H$15),0))</f>
        <v>0</v>
      </c>
      <c r="J24" s="98" t="n">
        <f aca="false" t="array" ref="J24:J24">IF(J$2&gt;Assumptions!$H$15,0,(INDEX('Pro Forma'!$D$26:$M$26,J$2)+INDEX('Pro Forma'!$D$9:$M$9,J$2)*(((1+Assumptions!$H$16+$O24)/(1+Assumptions!$H$16))^J$2-1))-IF(Assumptions!$C$37=1,Assumptions!$C$68,IF(Assumptions!$C$37=2,Assumptions!$C$69,IF(J$2&lt;=Assumptions!$C$41,Assumptions!$C$68,Assumptions!$C$69)))-Assumptions!$C$58-IF(Assumptions!$C$28=1,IF(J$2=1,Assumptions!$C$26,0),Assumptions!$C$26/Assumptions!$H$15)-Assumptions!$C$33+IF(J$2=Assumptions!$H$15,(INDEX('Pro Forma'!$D$26:$M$26,Assumptions!$H$15)+INDEX('Pro Forma'!$D$9:$M$9,Assumptions!$H$15)*(((1+Assumptions!$H$16+$O24)/(1+Assumptions!$H$16))^Assumptions!$H$15-1))/IF((Assumptions!$C$22+$P24)=0,1,Assumptions!$C$22+$P24)*(1-Assumptions!$C$23)-INDEX('Debt Schedule'!$C$8:$L$8,Assumptions!$H$15)-INDEX('Debt Schedule'!$C$19:$L$19,Assumptions!$H$15),0))</f>
        <v>0</v>
      </c>
      <c r="K24" s="98" t="n">
        <f aca="false" t="array" ref="K24:K24">IF(K$2&gt;Assumptions!$H$15,0,(INDEX('Pro Forma'!$D$26:$M$26,K$2)+INDEX('Pro Forma'!$D$9:$M$9,K$2)*(((1+Assumptions!$H$16+$O24)/(1+Assumptions!$H$16))^K$2-1))-IF(Assumptions!$C$37=1,Assumptions!$C$68,IF(Assumptions!$C$37=2,Assumptions!$C$69,IF(K$2&lt;=Assumptions!$C$41,Assumptions!$C$68,Assumptions!$C$69)))-Assumptions!$C$58-IF(Assumptions!$C$28=1,IF(K$2=1,Assumptions!$C$26,0),Assumptions!$C$26/Assumptions!$H$15)-Assumptions!$C$33+IF(K$2=Assumptions!$H$15,(INDEX('Pro Forma'!$D$26:$M$26,Assumptions!$H$15)+INDEX('Pro Forma'!$D$9:$M$9,Assumptions!$H$15)*(((1+Assumptions!$H$16+$O24)/(1+Assumptions!$H$16))^Assumptions!$H$15-1))/IF((Assumptions!$C$22+$P24)=0,1,Assumptions!$C$22+$P24)*(1-Assumptions!$C$23)-INDEX('Debt Schedule'!$C$8:$L$8,Assumptions!$H$15)-INDEX('Debt Schedule'!$C$19:$L$19,Assumptions!$H$15),0))</f>
        <v>0</v>
      </c>
      <c r="L24" s="98" t="n">
        <f aca="false" t="array" ref="L24:L24">IF(L$2&gt;Assumptions!$H$15,0,(INDEX('Pro Forma'!$D$26:$M$26,L$2)+INDEX('Pro Forma'!$D$9:$M$9,L$2)*(((1+Assumptions!$H$16+$O24)/(1+Assumptions!$H$16))^L$2-1))-IF(Assumptions!$C$37=1,Assumptions!$C$68,IF(Assumptions!$C$37=2,Assumptions!$C$69,IF(L$2&lt;=Assumptions!$C$41,Assumptions!$C$68,Assumptions!$C$69)))-Assumptions!$C$58-IF(Assumptions!$C$28=1,IF(L$2=1,Assumptions!$C$26,0),Assumptions!$C$26/Assumptions!$H$15)-Assumptions!$C$33+IF(L$2=Assumptions!$H$15,(INDEX('Pro Forma'!$D$26:$M$26,Assumptions!$H$15)+INDEX('Pro Forma'!$D$9:$M$9,Assumptions!$H$15)*(((1+Assumptions!$H$16+$O24)/(1+Assumptions!$H$16))^Assumptions!$H$15-1))/IF((Assumptions!$C$22+$P24)=0,1,Assumptions!$C$22+$P24)*(1-Assumptions!$C$23)-INDEX('Debt Schedule'!$C$8:$L$8,Assumptions!$H$15)-INDEX('Debt Schedule'!$C$19:$L$19,Assumptions!$H$15),0))</f>
        <v>0</v>
      </c>
      <c r="M24" s="98" t="n">
        <f aca="false" t="array" ref="M24:M24">IF(M$2&gt;Assumptions!$H$15,0,(INDEX('Pro Forma'!$D$26:$M$26,M$2)+INDEX('Pro Forma'!$D$9:$M$9,M$2)*(((1+Assumptions!$H$16+$O24)/(1+Assumptions!$H$16))^M$2-1))-IF(Assumptions!$C$37=1,Assumptions!$C$68,IF(Assumptions!$C$37=2,Assumptions!$C$69,IF(M$2&lt;=Assumptions!$C$41,Assumptions!$C$68,Assumptions!$C$69)))-Assumptions!$C$58-IF(Assumptions!$C$28=1,IF(M$2=1,Assumptions!$C$26,0),Assumptions!$C$26/Assumptions!$H$15)-Assumptions!$C$33+IF(M$2=Assumptions!$H$15,(INDEX('Pro Forma'!$D$26:$M$26,Assumptions!$H$15)+INDEX('Pro Forma'!$D$9:$M$9,Assumptions!$H$15)*(((1+Assumptions!$H$16+$O24)/(1+Assumptions!$H$16))^Assumptions!$H$15-1))/IF((Assumptions!$C$22+$P24)=0,1,Assumptions!$C$22+$P24)*(1-Assumptions!$C$23)-INDEX('Debt Schedule'!$C$8:$L$8,Assumptions!$H$15)-INDEX('Debt Schedule'!$C$19:$L$19,Assumptions!$H$15),0))</f>
        <v>0</v>
      </c>
      <c r="N24" s="99" t="n">
        <f aca="false">IFERROR(IRR(C24:M24),0)</f>
        <v>0</v>
      </c>
      <c r="O24" s="100" t="n">
        <f aca="false">(MOD(ROW()-3,5)-2)*0.005</f>
        <v>-0.005</v>
      </c>
      <c r="P24" s="100" t="n">
        <f aca="false">(INT((ROW()-3)/5)-2)*0.0025</f>
        <v>0.005</v>
      </c>
    </row>
    <row r="25" customFormat="false" ht="15" hidden="false" customHeight="true" outlineLevel="0" collapsed="false">
      <c r="C25" s="98" t="n">
        <f aca="false">-Assumptions!$C$70</f>
        <v>-0</v>
      </c>
      <c r="D25" s="98" t="n">
        <f aca="false" t="array" ref="D25:D25">IF(D$2&gt;Assumptions!$H$15,0,(INDEX('Pro Forma'!$D$26:$M$26,D$2)+INDEX('Pro Forma'!$D$9:$M$9,D$2)*(((1+Assumptions!$H$16+$O25)/(1+Assumptions!$H$16))^D$2-1))-IF(Assumptions!$C$37=1,Assumptions!$C$68,IF(Assumptions!$C$37=2,Assumptions!$C$69,IF(D$2&lt;=Assumptions!$C$41,Assumptions!$C$68,Assumptions!$C$69)))-Assumptions!$C$58-IF(Assumptions!$C$28=1,IF(D$2=1,Assumptions!$C$26,0),Assumptions!$C$26/Assumptions!$H$15)-Assumptions!$C$33+IF(D$2=Assumptions!$H$15,(INDEX('Pro Forma'!$D$26:$M$26,Assumptions!$H$15)+INDEX('Pro Forma'!$D$9:$M$9,Assumptions!$H$15)*(((1+Assumptions!$H$16+$O25)/(1+Assumptions!$H$16))^Assumptions!$H$15-1))/IF((Assumptions!$C$22+$P25)=0,1,Assumptions!$C$22+$P25)*(1-Assumptions!$C$23)-INDEX('Debt Schedule'!$C$8:$L$8,Assumptions!$H$15)-INDEX('Debt Schedule'!$C$19:$L$19,Assumptions!$H$15),0))</f>
        <v>0</v>
      </c>
      <c r="E25" s="98" t="n">
        <f aca="false" t="array" ref="E25:E25">IF(E$2&gt;Assumptions!$H$15,0,(INDEX('Pro Forma'!$D$26:$M$26,E$2)+INDEX('Pro Forma'!$D$9:$M$9,E$2)*(((1+Assumptions!$H$16+$O25)/(1+Assumptions!$H$16))^E$2-1))-IF(Assumptions!$C$37=1,Assumptions!$C$68,IF(Assumptions!$C$37=2,Assumptions!$C$69,IF(E$2&lt;=Assumptions!$C$41,Assumptions!$C$68,Assumptions!$C$69)))-Assumptions!$C$58-IF(Assumptions!$C$28=1,IF(E$2=1,Assumptions!$C$26,0),Assumptions!$C$26/Assumptions!$H$15)-Assumptions!$C$33+IF(E$2=Assumptions!$H$15,(INDEX('Pro Forma'!$D$26:$M$26,Assumptions!$H$15)+INDEX('Pro Forma'!$D$9:$M$9,Assumptions!$H$15)*(((1+Assumptions!$H$16+$O25)/(1+Assumptions!$H$16))^Assumptions!$H$15-1))/IF((Assumptions!$C$22+$P25)=0,1,Assumptions!$C$22+$P25)*(1-Assumptions!$C$23)-INDEX('Debt Schedule'!$C$8:$L$8,Assumptions!$H$15)-INDEX('Debt Schedule'!$C$19:$L$19,Assumptions!$H$15),0))</f>
        <v>0</v>
      </c>
      <c r="F25" s="98" t="n">
        <f aca="false" t="array" ref="F25:F25">IF(F$2&gt;Assumptions!$H$15,0,(INDEX('Pro Forma'!$D$26:$M$26,F$2)+INDEX('Pro Forma'!$D$9:$M$9,F$2)*(((1+Assumptions!$H$16+$O25)/(1+Assumptions!$H$16))^F$2-1))-IF(Assumptions!$C$37=1,Assumptions!$C$68,IF(Assumptions!$C$37=2,Assumptions!$C$69,IF(F$2&lt;=Assumptions!$C$41,Assumptions!$C$68,Assumptions!$C$69)))-Assumptions!$C$58-IF(Assumptions!$C$28=1,IF(F$2=1,Assumptions!$C$26,0),Assumptions!$C$26/Assumptions!$H$15)-Assumptions!$C$33+IF(F$2=Assumptions!$H$15,(INDEX('Pro Forma'!$D$26:$M$26,Assumptions!$H$15)+INDEX('Pro Forma'!$D$9:$M$9,Assumptions!$H$15)*(((1+Assumptions!$H$16+$O25)/(1+Assumptions!$H$16))^Assumptions!$H$15-1))/IF((Assumptions!$C$22+$P25)=0,1,Assumptions!$C$22+$P25)*(1-Assumptions!$C$23)-INDEX('Debt Schedule'!$C$8:$L$8,Assumptions!$H$15)-INDEX('Debt Schedule'!$C$19:$L$19,Assumptions!$H$15),0))</f>
        <v>0</v>
      </c>
      <c r="G25" s="98" t="n">
        <f aca="false" t="array" ref="G25:G25">IF(G$2&gt;Assumptions!$H$15,0,(INDEX('Pro Forma'!$D$26:$M$26,G$2)+INDEX('Pro Forma'!$D$9:$M$9,G$2)*(((1+Assumptions!$H$16+$O25)/(1+Assumptions!$H$16))^G$2-1))-IF(Assumptions!$C$37=1,Assumptions!$C$68,IF(Assumptions!$C$37=2,Assumptions!$C$69,IF(G$2&lt;=Assumptions!$C$41,Assumptions!$C$68,Assumptions!$C$69)))-Assumptions!$C$58-IF(Assumptions!$C$28=1,IF(G$2=1,Assumptions!$C$26,0),Assumptions!$C$26/Assumptions!$H$15)-Assumptions!$C$33+IF(G$2=Assumptions!$H$15,(INDEX('Pro Forma'!$D$26:$M$26,Assumptions!$H$15)+INDEX('Pro Forma'!$D$9:$M$9,Assumptions!$H$15)*(((1+Assumptions!$H$16+$O25)/(1+Assumptions!$H$16))^Assumptions!$H$15-1))/IF((Assumptions!$C$22+$P25)=0,1,Assumptions!$C$22+$P25)*(1-Assumptions!$C$23)-INDEX('Debt Schedule'!$C$8:$L$8,Assumptions!$H$15)-INDEX('Debt Schedule'!$C$19:$L$19,Assumptions!$H$15),0))</f>
        <v>0</v>
      </c>
      <c r="H25" s="98" t="n">
        <f aca="false" t="array" ref="H25:H25">IF(H$2&gt;Assumptions!$H$15,0,(INDEX('Pro Forma'!$D$26:$M$26,H$2)+INDEX('Pro Forma'!$D$9:$M$9,H$2)*(((1+Assumptions!$H$16+$O25)/(1+Assumptions!$H$16))^H$2-1))-IF(Assumptions!$C$37=1,Assumptions!$C$68,IF(Assumptions!$C$37=2,Assumptions!$C$69,IF(H$2&lt;=Assumptions!$C$41,Assumptions!$C$68,Assumptions!$C$69)))-Assumptions!$C$58-IF(Assumptions!$C$28=1,IF(H$2=1,Assumptions!$C$26,0),Assumptions!$C$26/Assumptions!$H$15)-Assumptions!$C$33+IF(H$2=Assumptions!$H$15,(INDEX('Pro Forma'!$D$26:$M$26,Assumptions!$H$15)+INDEX('Pro Forma'!$D$9:$M$9,Assumptions!$H$15)*(((1+Assumptions!$H$16+$O25)/(1+Assumptions!$H$16))^Assumptions!$H$15-1))/IF((Assumptions!$C$22+$P25)=0,1,Assumptions!$C$22+$P25)*(1-Assumptions!$C$23)-INDEX('Debt Schedule'!$C$8:$L$8,Assumptions!$H$15)-INDEX('Debt Schedule'!$C$19:$L$19,Assumptions!$H$15),0))</f>
        <v>0</v>
      </c>
      <c r="I25" s="98" t="n">
        <f aca="false" t="array" ref="I25:I25">IF(I$2&gt;Assumptions!$H$15,0,(INDEX('Pro Forma'!$D$26:$M$26,I$2)+INDEX('Pro Forma'!$D$9:$M$9,I$2)*(((1+Assumptions!$H$16+$O25)/(1+Assumptions!$H$16))^I$2-1))-IF(Assumptions!$C$37=1,Assumptions!$C$68,IF(Assumptions!$C$37=2,Assumptions!$C$69,IF(I$2&lt;=Assumptions!$C$41,Assumptions!$C$68,Assumptions!$C$69)))-Assumptions!$C$58-IF(Assumptions!$C$28=1,IF(I$2=1,Assumptions!$C$26,0),Assumptions!$C$26/Assumptions!$H$15)-Assumptions!$C$33+IF(I$2=Assumptions!$H$15,(INDEX('Pro Forma'!$D$26:$M$26,Assumptions!$H$15)+INDEX('Pro Forma'!$D$9:$M$9,Assumptions!$H$15)*(((1+Assumptions!$H$16+$O25)/(1+Assumptions!$H$16))^Assumptions!$H$15-1))/IF((Assumptions!$C$22+$P25)=0,1,Assumptions!$C$22+$P25)*(1-Assumptions!$C$23)-INDEX('Debt Schedule'!$C$8:$L$8,Assumptions!$H$15)-INDEX('Debt Schedule'!$C$19:$L$19,Assumptions!$H$15),0))</f>
        <v>0</v>
      </c>
      <c r="J25" s="98" t="n">
        <f aca="false" t="array" ref="J25:J25">IF(J$2&gt;Assumptions!$H$15,0,(INDEX('Pro Forma'!$D$26:$M$26,J$2)+INDEX('Pro Forma'!$D$9:$M$9,J$2)*(((1+Assumptions!$H$16+$O25)/(1+Assumptions!$H$16))^J$2-1))-IF(Assumptions!$C$37=1,Assumptions!$C$68,IF(Assumptions!$C$37=2,Assumptions!$C$69,IF(J$2&lt;=Assumptions!$C$41,Assumptions!$C$68,Assumptions!$C$69)))-Assumptions!$C$58-IF(Assumptions!$C$28=1,IF(J$2=1,Assumptions!$C$26,0),Assumptions!$C$26/Assumptions!$H$15)-Assumptions!$C$33+IF(J$2=Assumptions!$H$15,(INDEX('Pro Forma'!$D$26:$M$26,Assumptions!$H$15)+INDEX('Pro Forma'!$D$9:$M$9,Assumptions!$H$15)*(((1+Assumptions!$H$16+$O25)/(1+Assumptions!$H$16))^Assumptions!$H$15-1))/IF((Assumptions!$C$22+$P25)=0,1,Assumptions!$C$22+$P25)*(1-Assumptions!$C$23)-INDEX('Debt Schedule'!$C$8:$L$8,Assumptions!$H$15)-INDEX('Debt Schedule'!$C$19:$L$19,Assumptions!$H$15),0))</f>
        <v>0</v>
      </c>
      <c r="K25" s="98" t="n">
        <f aca="false" t="array" ref="K25:K25">IF(K$2&gt;Assumptions!$H$15,0,(INDEX('Pro Forma'!$D$26:$M$26,K$2)+INDEX('Pro Forma'!$D$9:$M$9,K$2)*(((1+Assumptions!$H$16+$O25)/(1+Assumptions!$H$16))^K$2-1))-IF(Assumptions!$C$37=1,Assumptions!$C$68,IF(Assumptions!$C$37=2,Assumptions!$C$69,IF(K$2&lt;=Assumptions!$C$41,Assumptions!$C$68,Assumptions!$C$69)))-Assumptions!$C$58-IF(Assumptions!$C$28=1,IF(K$2=1,Assumptions!$C$26,0),Assumptions!$C$26/Assumptions!$H$15)-Assumptions!$C$33+IF(K$2=Assumptions!$H$15,(INDEX('Pro Forma'!$D$26:$M$26,Assumptions!$H$15)+INDEX('Pro Forma'!$D$9:$M$9,Assumptions!$H$15)*(((1+Assumptions!$H$16+$O25)/(1+Assumptions!$H$16))^Assumptions!$H$15-1))/IF((Assumptions!$C$22+$P25)=0,1,Assumptions!$C$22+$P25)*(1-Assumptions!$C$23)-INDEX('Debt Schedule'!$C$8:$L$8,Assumptions!$H$15)-INDEX('Debt Schedule'!$C$19:$L$19,Assumptions!$H$15),0))</f>
        <v>0</v>
      </c>
      <c r="L25" s="98" t="n">
        <f aca="false" t="array" ref="L25:L25">IF(L$2&gt;Assumptions!$H$15,0,(INDEX('Pro Forma'!$D$26:$M$26,L$2)+INDEX('Pro Forma'!$D$9:$M$9,L$2)*(((1+Assumptions!$H$16+$O25)/(1+Assumptions!$H$16))^L$2-1))-IF(Assumptions!$C$37=1,Assumptions!$C$68,IF(Assumptions!$C$37=2,Assumptions!$C$69,IF(L$2&lt;=Assumptions!$C$41,Assumptions!$C$68,Assumptions!$C$69)))-Assumptions!$C$58-IF(Assumptions!$C$28=1,IF(L$2=1,Assumptions!$C$26,0),Assumptions!$C$26/Assumptions!$H$15)-Assumptions!$C$33+IF(L$2=Assumptions!$H$15,(INDEX('Pro Forma'!$D$26:$M$26,Assumptions!$H$15)+INDEX('Pro Forma'!$D$9:$M$9,Assumptions!$H$15)*(((1+Assumptions!$H$16+$O25)/(1+Assumptions!$H$16))^Assumptions!$H$15-1))/IF((Assumptions!$C$22+$P25)=0,1,Assumptions!$C$22+$P25)*(1-Assumptions!$C$23)-INDEX('Debt Schedule'!$C$8:$L$8,Assumptions!$H$15)-INDEX('Debt Schedule'!$C$19:$L$19,Assumptions!$H$15),0))</f>
        <v>0</v>
      </c>
      <c r="M25" s="98" t="n">
        <f aca="false" t="array" ref="M25:M25">IF(M$2&gt;Assumptions!$H$15,0,(INDEX('Pro Forma'!$D$26:$M$26,M$2)+INDEX('Pro Forma'!$D$9:$M$9,M$2)*(((1+Assumptions!$H$16+$O25)/(1+Assumptions!$H$16))^M$2-1))-IF(Assumptions!$C$37=1,Assumptions!$C$68,IF(Assumptions!$C$37=2,Assumptions!$C$69,IF(M$2&lt;=Assumptions!$C$41,Assumptions!$C$68,Assumptions!$C$69)))-Assumptions!$C$58-IF(Assumptions!$C$28=1,IF(M$2=1,Assumptions!$C$26,0),Assumptions!$C$26/Assumptions!$H$15)-Assumptions!$C$33+IF(M$2=Assumptions!$H$15,(INDEX('Pro Forma'!$D$26:$M$26,Assumptions!$H$15)+INDEX('Pro Forma'!$D$9:$M$9,Assumptions!$H$15)*(((1+Assumptions!$H$16+$O25)/(1+Assumptions!$H$16))^Assumptions!$H$15-1))/IF((Assumptions!$C$22+$P25)=0,1,Assumptions!$C$22+$P25)*(1-Assumptions!$C$23)-INDEX('Debt Schedule'!$C$8:$L$8,Assumptions!$H$15)-INDEX('Debt Schedule'!$C$19:$L$19,Assumptions!$H$15),0))</f>
        <v>0</v>
      </c>
      <c r="N25" s="99" t="n">
        <f aca="false">IFERROR(IRR(C25:M25),0)</f>
        <v>0</v>
      </c>
      <c r="O25" s="100" t="n">
        <f aca="false">(MOD(ROW()-3,5)-2)*0.005</f>
        <v>0</v>
      </c>
      <c r="P25" s="100" t="n">
        <f aca="false">(INT((ROW()-3)/5)-2)*0.0025</f>
        <v>0.005</v>
      </c>
    </row>
    <row r="26" customFormat="false" ht="15" hidden="false" customHeight="true" outlineLevel="0" collapsed="false">
      <c r="C26" s="98" t="n">
        <f aca="false">-Assumptions!$C$70</f>
        <v>-0</v>
      </c>
      <c r="D26" s="98" t="n">
        <f aca="false" t="array" ref="D26:D26">IF(D$2&gt;Assumptions!$H$15,0,(INDEX('Pro Forma'!$D$26:$M$26,D$2)+INDEX('Pro Forma'!$D$9:$M$9,D$2)*(((1+Assumptions!$H$16+$O26)/(1+Assumptions!$H$16))^D$2-1))-IF(Assumptions!$C$37=1,Assumptions!$C$68,IF(Assumptions!$C$37=2,Assumptions!$C$69,IF(D$2&lt;=Assumptions!$C$41,Assumptions!$C$68,Assumptions!$C$69)))-Assumptions!$C$58-IF(Assumptions!$C$28=1,IF(D$2=1,Assumptions!$C$26,0),Assumptions!$C$26/Assumptions!$H$15)-Assumptions!$C$33+IF(D$2=Assumptions!$H$15,(INDEX('Pro Forma'!$D$26:$M$26,Assumptions!$H$15)+INDEX('Pro Forma'!$D$9:$M$9,Assumptions!$H$15)*(((1+Assumptions!$H$16+$O26)/(1+Assumptions!$H$16))^Assumptions!$H$15-1))/IF((Assumptions!$C$22+$P26)=0,1,Assumptions!$C$22+$P26)*(1-Assumptions!$C$23)-INDEX('Debt Schedule'!$C$8:$L$8,Assumptions!$H$15)-INDEX('Debt Schedule'!$C$19:$L$19,Assumptions!$H$15),0))</f>
        <v>0</v>
      </c>
      <c r="E26" s="98" t="n">
        <f aca="false" t="array" ref="E26:E26">IF(E$2&gt;Assumptions!$H$15,0,(INDEX('Pro Forma'!$D$26:$M$26,E$2)+INDEX('Pro Forma'!$D$9:$M$9,E$2)*(((1+Assumptions!$H$16+$O26)/(1+Assumptions!$H$16))^E$2-1))-IF(Assumptions!$C$37=1,Assumptions!$C$68,IF(Assumptions!$C$37=2,Assumptions!$C$69,IF(E$2&lt;=Assumptions!$C$41,Assumptions!$C$68,Assumptions!$C$69)))-Assumptions!$C$58-IF(Assumptions!$C$28=1,IF(E$2=1,Assumptions!$C$26,0),Assumptions!$C$26/Assumptions!$H$15)-Assumptions!$C$33+IF(E$2=Assumptions!$H$15,(INDEX('Pro Forma'!$D$26:$M$26,Assumptions!$H$15)+INDEX('Pro Forma'!$D$9:$M$9,Assumptions!$H$15)*(((1+Assumptions!$H$16+$O26)/(1+Assumptions!$H$16))^Assumptions!$H$15-1))/IF((Assumptions!$C$22+$P26)=0,1,Assumptions!$C$22+$P26)*(1-Assumptions!$C$23)-INDEX('Debt Schedule'!$C$8:$L$8,Assumptions!$H$15)-INDEX('Debt Schedule'!$C$19:$L$19,Assumptions!$H$15),0))</f>
        <v>0</v>
      </c>
      <c r="F26" s="98" t="n">
        <f aca="false" t="array" ref="F26:F26">IF(F$2&gt;Assumptions!$H$15,0,(INDEX('Pro Forma'!$D$26:$M$26,F$2)+INDEX('Pro Forma'!$D$9:$M$9,F$2)*(((1+Assumptions!$H$16+$O26)/(1+Assumptions!$H$16))^F$2-1))-IF(Assumptions!$C$37=1,Assumptions!$C$68,IF(Assumptions!$C$37=2,Assumptions!$C$69,IF(F$2&lt;=Assumptions!$C$41,Assumptions!$C$68,Assumptions!$C$69)))-Assumptions!$C$58-IF(Assumptions!$C$28=1,IF(F$2=1,Assumptions!$C$26,0),Assumptions!$C$26/Assumptions!$H$15)-Assumptions!$C$33+IF(F$2=Assumptions!$H$15,(INDEX('Pro Forma'!$D$26:$M$26,Assumptions!$H$15)+INDEX('Pro Forma'!$D$9:$M$9,Assumptions!$H$15)*(((1+Assumptions!$H$16+$O26)/(1+Assumptions!$H$16))^Assumptions!$H$15-1))/IF((Assumptions!$C$22+$P26)=0,1,Assumptions!$C$22+$P26)*(1-Assumptions!$C$23)-INDEX('Debt Schedule'!$C$8:$L$8,Assumptions!$H$15)-INDEX('Debt Schedule'!$C$19:$L$19,Assumptions!$H$15),0))</f>
        <v>0</v>
      </c>
      <c r="G26" s="98" t="n">
        <f aca="false" t="array" ref="G26:G26">IF(G$2&gt;Assumptions!$H$15,0,(INDEX('Pro Forma'!$D$26:$M$26,G$2)+INDEX('Pro Forma'!$D$9:$M$9,G$2)*(((1+Assumptions!$H$16+$O26)/(1+Assumptions!$H$16))^G$2-1))-IF(Assumptions!$C$37=1,Assumptions!$C$68,IF(Assumptions!$C$37=2,Assumptions!$C$69,IF(G$2&lt;=Assumptions!$C$41,Assumptions!$C$68,Assumptions!$C$69)))-Assumptions!$C$58-IF(Assumptions!$C$28=1,IF(G$2=1,Assumptions!$C$26,0),Assumptions!$C$26/Assumptions!$H$15)-Assumptions!$C$33+IF(G$2=Assumptions!$H$15,(INDEX('Pro Forma'!$D$26:$M$26,Assumptions!$H$15)+INDEX('Pro Forma'!$D$9:$M$9,Assumptions!$H$15)*(((1+Assumptions!$H$16+$O26)/(1+Assumptions!$H$16))^Assumptions!$H$15-1))/IF((Assumptions!$C$22+$P26)=0,1,Assumptions!$C$22+$P26)*(1-Assumptions!$C$23)-INDEX('Debt Schedule'!$C$8:$L$8,Assumptions!$H$15)-INDEX('Debt Schedule'!$C$19:$L$19,Assumptions!$H$15),0))</f>
        <v>0</v>
      </c>
      <c r="H26" s="98" t="n">
        <f aca="false" t="array" ref="H26:H26">IF(H$2&gt;Assumptions!$H$15,0,(INDEX('Pro Forma'!$D$26:$M$26,H$2)+INDEX('Pro Forma'!$D$9:$M$9,H$2)*(((1+Assumptions!$H$16+$O26)/(1+Assumptions!$H$16))^H$2-1))-IF(Assumptions!$C$37=1,Assumptions!$C$68,IF(Assumptions!$C$37=2,Assumptions!$C$69,IF(H$2&lt;=Assumptions!$C$41,Assumptions!$C$68,Assumptions!$C$69)))-Assumptions!$C$58-IF(Assumptions!$C$28=1,IF(H$2=1,Assumptions!$C$26,0),Assumptions!$C$26/Assumptions!$H$15)-Assumptions!$C$33+IF(H$2=Assumptions!$H$15,(INDEX('Pro Forma'!$D$26:$M$26,Assumptions!$H$15)+INDEX('Pro Forma'!$D$9:$M$9,Assumptions!$H$15)*(((1+Assumptions!$H$16+$O26)/(1+Assumptions!$H$16))^Assumptions!$H$15-1))/IF((Assumptions!$C$22+$P26)=0,1,Assumptions!$C$22+$P26)*(1-Assumptions!$C$23)-INDEX('Debt Schedule'!$C$8:$L$8,Assumptions!$H$15)-INDEX('Debt Schedule'!$C$19:$L$19,Assumptions!$H$15),0))</f>
        <v>0</v>
      </c>
      <c r="I26" s="98" t="n">
        <f aca="false" t="array" ref="I26:I26">IF(I$2&gt;Assumptions!$H$15,0,(INDEX('Pro Forma'!$D$26:$M$26,I$2)+INDEX('Pro Forma'!$D$9:$M$9,I$2)*(((1+Assumptions!$H$16+$O26)/(1+Assumptions!$H$16))^I$2-1))-IF(Assumptions!$C$37=1,Assumptions!$C$68,IF(Assumptions!$C$37=2,Assumptions!$C$69,IF(I$2&lt;=Assumptions!$C$41,Assumptions!$C$68,Assumptions!$C$69)))-Assumptions!$C$58-IF(Assumptions!$C$28=1,IF(I$2=1,Assumptions!$C$26,0),Assumptions!$C$26/Assumptions!$H$15)-Assumptions!$C$33+IF(I$2=Assumptions!$H$15,(INDEX('Pro Forma'!$D$26:$M$26,Assumptions!$H$15)+INDEX('Pro Forma'!$D$9:$M$9,Assumptions!$H$15)*(((1+Assumptions!$H$16+$O26)/(1+Assumptions!$H$16))^Assumptions!$H$15-1))/IF((Assumptions!$C$22+$P26)=0,1,Assumptions!$C$22+$P26)*(1-Assumptions!$C$23)-INDEX('Debt Schedule'!$C$8:$L$8,Assumptions!$H$15)-INDEX('Debt Schedule'!$C$19:$L$19,Assumptions!$H$15),0))</f>
        <v>0</v>
      </c>
      <c r="J26" s="98" t="n">
        <f aca="false" t="array" ref="J26:J26">IF(J$2&gt;Assumptions!$H$15,0,(INDEX('Pro Forma'!$D$26:$M$26,J$2)+INDEX('Pro Forma'!$D$9:$M$9,J$2)*(((1+Assumptions!$H$16+$O26)/(1+Assumptions!$H$16))^J$2-1))-IF(Assumptions!$C$37=1,Assumptions!$C$68,IF(Assumptions!$C$37=2,Assumptions!$C$69,IF(J$2&lt;=Assumptions!$C$41,Assumptions!$C$68,Assumptions!$C$69)))-Assumptions!$C$58-IF(Assumptions!$C$28=1,IF(J$2=1,Assumptions!$C$26,0),Assumptions!$C$26/Assumptions!$H$15)-Assumptions!$C$33+IF(J$2=Assumptions!$H$15,(INDEX('Pro Forma'!$D$26:$M$26,Assumptions!$H$15)+INDEX('Pro Forma'!$D$9:$M$9,Assumptions!$H$15)*(((1+Assumptions!$H$16+$O26)/(1+Assumptions!$H$16))^Assumptions!$H$15-1))/IF((Assumptions!$C$22+$P26)=0,1,Assumptions!$C$22+$P26)*(1-Assumptions!$C$23)-INDEX('Debt Schedule'!$C$8:$L$8,Assumptions!$H$15)-INDEX('Debt Schedule'!$C$19:$L$19,Assumptions!$H$15),0))</f>
        <v>0</v>
      </c>
      <c r="K26" s="98" t="n">
        <f aca="false" t="array" ref="K26:K26">IF(K$2&gt;Assumptions!$H$15,0,(INDEX('Pro Forma'!$D$26:$M$26,K$2)+INDEX('Pro Forma'!$D$9:$M$9,K$2)*(((1+Assumptions!$H$16+$O26)/(1+Assumptions!$H$16))^K$2-1))-IF(Assumptions!$C$37=1,Assumptions!$C$68,IF(Assumptions!$C$37=2,Assumptions!$C$69,IF(K$2&lt;=Assumptions!$C$41,Assumptions!$C$68,Assumptions!$C$69)))-Assumptions!$C$58-IF(Assumptions!$C$28=1,IF(K$2=1,Assumptions!$C$26,0),Assumptions!$C$26/Assumptions!$H$15)-Assumptions!$C$33+IF(K$2=Assumptions!$H$15,(INDEX('Pro Forma'!$D$26:$M$26,Assumptions!$H$15)+INDEX('Pro Forma'!$D$9:$M$9,Assumptions!$H$15)*(((1+Assumptions!$H$16+$O26)/(1+Assumptions!$H$16))^Assumptions!$H$15-1))/IF((Assumptions!$C$22+$P26)=0,1,Assumptions!$C$22+$P26)*(1-Assumptions!$C$23)-INDEX('Debt Schedule'!$C$8:$L$8,Assumptions!$H$15)-INDEX('Debt Schedule'!$C$19:$L$19,Assumptions!$H$15),0))</f>
        <v>0</v>
      </c>
      <c r="L26" s="98" t="n">
        <f aca="false" t="array" ref="L26:L26">IF(L$2&gt;Assumptions!$H$15,0,(INDEX('Pro Forma'!$D$26:$M$26,L$2)+INDEX('Pro Forma'!$D$9:$M$9,L$2)*(((1+Assumptions!$H$16+$O26)/(1+Assumptions!$H$16))^L$2-1))-IF(Assumptions!$C$37=1,Assumptions!$C$68,IF(Assumptions!$C$37=2,Assumptions!$C$69,IF(L$2&lt;=Assumptions!$C$41,Assumptions!$C$68,Assumptions!$C$69)))-Assumptions!$C$58-IF(Assumptions!$C$28=1,IF(L$2=1,Assumptions!$C$26,0),Assumptions!$C$26/Assumptions!$H$15)-Assumptions!$C$33+IF(L$2=Assumptions!$H$15,(INDEX('Pro Forma'!$D$26:$M$26,Assumptions!$H$15)+INDEX('Pro Forma'!$D$9:$M$9,Assumptions!$H$15)*(((1+Assumptions!$H$16+$O26)/(1+Assumptions!$H$16))^Assumptions!$H$15-1))/IF((Assumptions!$C$22+$P26)=0,1,Assumptions!$C$22+$P26)*(1-Assumptions!$C$23)-INDEX('Debt Schedule'!$C$8:$L$8,Assumptions!$H$15)-INDEX('Debt Schedule'!$C$19:$L$19,Assumptions!$H$15),0))</f>
        <v>0</v>
      </c>
      <c r="M26" s="98" t="n">
        <f aca="false" t="array" ref="M26:M26">IF(M$2&gt;Assumptions!$H$15,0,(INDEX('Pro Forma'!$D$26:$M$26,M$2)+INDEX('Pro Forma'!$D$9:$M$9,M$2)*(((1+Assumptions!$H$16+$O26)/(1+Assumptions!$H$16))^M$2-1))-IF(Assumptions!$C$37=1,Assumptions!$C$68,IF(Assumptions!$C$37=2,Assumptions!$C$69,IF(M$2&lt;=Assumptions!$C$41,Assumptions!$C$68,Assumptions!$C$69)))-Assumptions!$C$58-IF(Assumptions!$C$28=1,IF(M$2=1,Assumptions!$C$26,0),Assumptions!$C$26/Assumptions!$H$15)-Assumptions!$C$33+IF(M$2=Assumptions!$H$15,(INDEX('Pro Forma'!$D$26:$M$26,Assumptions!$H$15)+INDEX('Pro Forma'!$D$9:$M$9,Assumptions!$H$15)*(((1+Assumptions!$H$16+$O26)/(1+Assumptions!$H$16))^Assumptions!$H$15-1))/IF((Assumptions!$C$22+$P26)=0,1,Assumptions!$C$22+$P26)*(1-Assumptions!$C$23)-INDEX('Debt Schedule'!$C$8:$L$8,Assumptions!$H$15)-INDEX('Debt Schedule'!$C$19:$L$19,Assumptions!$H$15),0))</f>
        <v>0</v>
      </c>
      <c r="N26" s="99" t="n">
        <f aca="false">IFERROR(IRR(C26:M26),0)</f>
        <v>0</v>
      </c>
      <c r="O26" s="100" t="n">
        <f aca="false">(MOD(ROW()-3,5)-2)*0.005</f>
        <v>0.005</v>
      </c>
      <c r="P26" s="100" t="n">
        <f aca="false">(INT((ROW()-3)/5)-2)*0.0025</f>
        <v>0.005</v>
      </c>
    </row>
    <row r="27" customFormat="false" ht="15" hidden="false" customHeight="true" outlineLevel="0" collapsed="false">
      <c r="C27" s="98" t="n">
        <f aca="false">-Assumptions!$C$70</f>
        <v>-0</v>
      </c>
      <c r="D27" s="98" t="n">
        <f aca="false" t="array" ref="D27:D27">IF(D$2&gt;Assumptions!$H$15,0,(INDEX('Pro Forma'!$D$26:$M$26,D$2)+INDEX('Pro Forma'!$D$9:$M$9,D$2)*(((1+Assumptions!$H$16+$O27)/(1+Assumptions!$H$16))^D$2-1))-IF(Assumptions!$C$37=1,Assumptions!$C$68,IF(Assumptions!$C$37=2,Assumptions!$C$69,IF(D$2&lt;=Assumptions!$C$41,Assumptions!$C$68,Assumptions!$C$69)))-Assumptions!$C$58-IF(Assumptions!$C$28=1,IF(D$2=1,Assumptions!$C$26,0),Assumptions!$C$26/Assumptions!$H$15)-Assumptions!$C$33+IF(D$2=Assumptions!$H$15,(INDEX('Pro Forma'!$D$26:$M$26,Assumptions!$H$15)+INDEX('Pro Forma'!$D$9:$M$9,Assumptions!$H$15)*(((1+Assumptions!$H$16+$O27)/(1+Assumptions!$H$16))^Assumptions!$H$15-1))/IF((Assumptions!$C$22+$P27)=0,1,Assumptions!$C$22+$P27)*(1-Assumptions!$C$23)-INDEX('Debt Schedule'!$C$8:$L$8,Assumptions!$H$15)-INDEX('Debt Schedule'!$C$19:$L$19,Assumptions!$H$15),0))</f>
        <v>0</v>
      </c>
      <c r="E27" s="98" t="n">
        <f aca="false" t="array" ref="E27:E27">IF(E$2&gt;Assumptions!$H$15,0,(INDEX('Pro Forma'!$D$26:$M$26,E$2)+INDEX('Pro Forma'!$D$9:$M$9,E$2)*(((1+Assumptions!$H$16+$O27)/(1+Assumptions!$H$16))^E$2-1))-IF(Assumptions!$C$37=1,Assumptions!$C$68,IF(Assumptions!$C$37=2,Assumptions!$C$69,IF(E$2&lt;=Assumptions!$C$41,Assumptions!$C$68,Assumptions!$C$69)))-Assumptions!$C$58-IF(Assumptions!$C$28=1,IF(E$2=1,Assumptions!$C$26,0),Assumptions!$C$26/Assumptions!$H$15)-Assumptions!$C$33+IF(E$2=Assumptions!$H$15,(INDEX('Pro Forma'!$D$26:$M$26,Assumptions!$H$15)+INDEX('Pro Forma'!$D$9:$M$9,Assumptions!$H$15)*(((1+Assumptions!$H$16+$O27)/(1+Assumptions!$H$16))^Assumptions!$H$15-1))/IF((Assumptions!$C$22+$P27)=0,1,Assumptions!$C$22+$P27)*(1-Assumptions!$C$23)-INDEX('Debt Schedule'!$C$8:$L$8,Assumptions!$H$15)-INDEX('Debt Schedule'!$C$19:$L$19,Assumptions!$H$15),0))</f>
        <v>0</v>
      </c>
      <c r="F27" s="98" t="n">
        <f aca="false" t="array" ref="F27:F27">IF(F$2&gt;Assumptions!$H$15,0,(INDEX('Pro Forma'!$D$26:$M$26,F$2)+INDEX('Pro Forma'!$D$9:$M$9,F$2)*(((1+Assumptions!$H$16+$O27)/(1+Assumptions!$H$16))^F$2-1))-IF(Assumptions!$C$37=1,Assumptions!$C$68,IF(Assumptions!$C$37=2,Assumptions!$C$69,IF(F$2&lt;=Assumptions!$C$41,Assumptions!$C$68,Assumptions!$C$69)))-Assumptions!$C$58-IF(Assumptions!$C$28=1,IF(F$2=1,Assumptions!$C$26,0),Assumptions!$C$26/Assumptions!$H$15)-Assumptions!$C$33+IF(F$2=Assumptions!$H$15,(INDEX('Pro Forma'!$D$26:$M$26,Assumptions!$H$15)+INDEX('Pro Forma'!$D$9:$M$9,Assumptions!$H$15)*(((1+Assumptions!$H$16+$O27)/(1+Assumptions!$H$16))^Assumptions!$H$15-1))/IF((Assumptions!$C$22+$P27)=0,1,Assumptions!$C$22+$P27)*(1-Assumptions!$C$23)-INDEX('Debt Schedule'!$C$8:$L$8,Assumptions!$H$15)-INDEX('Debt Schedule'!$C$19:$L$19,Assumptions!$H$15),0))</f>
        <v>0</v>
      </c>
      <c r="G27" s="98" t="n">
        <f aca="false" t="array" ref="G27:G27">IF(G$2&gt;Assumptions!$H$15,0,(INDEX('Pro Forma'!$D$26:$M$26,G$2)+INDEX('Pro Forma'!$D$9:$M$9,G$2)*(((1+Assumptions!$H$16+$O27)/(1+Assumptions!$H$16))^G$2-1))-IF(Assumptions!$C$37=1,Assumptions!$C$68,IF(Assumptions!$C$37=2,Assumptions!$C$69,IF(G$2&lt;=Assumptions!$C$41,Assumptions!$C$68,Assumptions!$C$69)))-Assumptions!$C$58-IF(Assumptions!$C$28=1,IF(G$2=1,Assumptions!$C$26,0),Assumptions!$C$26/Assumptions!$H$15)-Assumptions!$C$33+IF(G$2=Assumptions!$H$15,(INDEX('Pro Forma'!$D$26:$M$26,Assumptions!$H$15)+INDEX('Pro Forma'!$D$9:$M$9,Assumptions!$H$15)*(((1+Assumptions!$H$16+$O27)/(1+Assumptions!$H$16))^Assumptions!$H$15-1))/IF((Assumptions!$C$22+$P27)=0,1,Assumptions!$C$22+$P27)*(1-Assumptions!$C$23)-INDEX('Debt Schedule'!$C$8:$L$8,Assumptions!$H$15)-INDEX('Debt Schedule'!$C$19:$L$19,Assumptions!$H$15),0))</f>
        <v>0</v>
      </c>
      <c r="H27" s="98" t="n">
        <f aca="false" t="array" ref="H27:H27">IF(H$2&gt;Assumptions!$H$15,0,(INDEX('Pro Forma'!$D$26:$M$26,H$2)+INDEX('Pro Forma'!$D$9:$M$9,H$2)*(((1+Assumptions!$H$16+$O27)/(1+Assumptions!$H$16))^H$2-1))-IF(Assumptions!$C$37=1,Assumptions!$C$68,IF(Assumptions!$C$37=2,Assumptions!$C$69,IF(H$2&lt;=Assumptions!$C$41,Assumptions!$C$68,Assumptions!$C$69)))-Assumptions!$C$58-IF(Assumptions!$C$28=1,IF(H$2=1,Assumptions!$C$26,0),Assumptions!$C$26/Assumptions!$H$15)-Assumptions!$C$33+IF(H$2=Assumptions!$H$15,(INDEX('Pro Forma'!$D$26:$M$26,Assumptions!$H$15)+INDEX('Pro Forma'!$D$9:$M$9,Assumptions!$H$15)*(((1+Assumptions!$H$16+$O27)/(1+Assumptions!$H$16))^Assumptions!$H$15-1))/IF((Assumptions!$C$22+$P27)=0,1,Assumptions!$C$22+$P27)*(1-Assumptions!$C$23)-INDEX('Debt Schedule'!$C$8:$L$8,Assumptions!$H$15)-INDEX('Debt Schedule'!$C$19:$L$19,Assumptions!$H$15),0))</f>
        <v>0</v>
      </c>
      <c r="I27" s="98" t="n">
        <f aca="false" t="array" ref="I27:I27">IF(I$2&gt;Assumptions!$H$15,0,(INDEX('Pro Forma'!$D$26:$M$26,I$2)+INDEX('Pro Forma'!$D$9:$M$9,I$2)*(((1+Assumptions!$H$16+$O27)/(1+Assumptions!$H$16))^I$2-1))-IF(Assumptions!$C$37=1,Assumptions!$C$68,IF(Assumptions!$C$37=2,Assumptions!$C$69,IF(I$2&lt;=Assumptions!$C$41,Assumptions!$C$68,Assumptions!$C$69)))-Assumptions!$C$58-IF(Assumptions!$C$28=1,IF(I$2=1,Assumptions!$C$26,0),Assumptions!$C$26/Assumptions!$H$15)-Assumptions!$C$33+IF(I$2=Assumptions!$H$15,(INDEX('Pro Forma'!$D$26:$M$26,Assumptions!$H$15)+INDEX('Pro Forma'!$D$9:$M$9,Assumptions!$H$15)*(((1+Assumptions!$H$16+$O27)/(1+Assumptions!$H$16))^Assumptions!$H$15-1))/IF((Assumptions!$C$22+$P27)=0,1,Assumptions!$C$22+$P27)*(1-Assumptions!$C$23)-INDEX('Debt Schedule'!$C$8:$L$8,Assumptions!$H$15)-INDEX('Debt Schedule'!$C$19:$L$19,Assumptions!$H$15),0))</f>
        <v>0</v>
      </c>
      <c r="J27" s="98" t="n">
        <f aca="false" t="array" ref="J27:J27">IF(J$2&gt;Assumptions!$H$15,0,(INDEX('Pro Forma'!$D$26:$M$26,J$2)+INDEX('Pro Forma'!$D$9:$M$9,J$2)*(((1+Assumptions!$H$16+$O27)/(1+Assumptions!$H$16))^J$2-1))-IF(Assumptions!$C$37=1,Assumptions!$C$68,IF(Assumptions!$C$37=2,Assumptions!$C$69,IF(J$2&lt;=Assumptions!$C$41,Assumptions!$C$68,Assumptions!$C$69)))-Assumptions!$C$58-IF(Assumptions!$C$28=1,IF(J$2=1,Assumptions!$C$26,0),Assumptions!$C$26/Assumptions!$H$15)-Assumptions!$C$33+IF(J$2=Assumptions!$H$15,(INDEX('Pro Forma'!$D$26:$M$26,Assumptions!$H$15)+INDEX('Pro Forma'!$D$9:$M$9,Assumptions!$H$15)*(((1+Assumptions!$H$16+$O27)/(1+Assumptions!$H$16))^Assumptions!$H$15-1))/IF((Assumptions!$C$22+$P27)=0,1,Assumptions!$C$22+$P27)*(1-Assumptions!$C$23)-INDEX('Debt Schedule'!$C$8:$L$8,Assumptions!$H$15)-INDEX('Debt Schedule'!$C$19:$L$19,Assumptions!$H$15),0))</f>
        <v>0</v>
      </c>
      <c r="K27" s="98" t="n">
        <f aca="false" t="array" ref="K27:K27">IF(K$2&gt;Assumptions!$H$15,0,(INDEX('Pro Forma'!$D$26:$M$26,K$2)+INDEX('Pro Forma'!$D$9:$M$9,K$2)*(((1+Assumptions!$H$16+$O27)/(1+Assumptions!$H$16))^K$2-1))-IF(Assumptions!$C$37=1,Assumptions!$C$68,IF(Assumptions!$C$37=2,Assumptions!$C$69,IF(K$2&lt;=Assumptions!$C$41,Assumptions!$C$68,Assumptions!$C$69)))-Assumptions!$C$58-IF(Assumptions!$C$28=1,IF(K$2=1,Assumptions!$C$26,0),Assumptions!$C$26/Assumptions!$H$15)-Assumptions!$C$33+IF(K$2=Assumptions!$H$15,(INDEX('Pro Forma'!$D$26:$M$26,Assumptions!$H$15)+INDEX('Pro Forma'!$D$9:$M$9,Assumptions!$H$15)*(((1+Assumptions!$H$16+$O27)/(1+Assumptions!$H$16))^Assumptions!$H$15-1))/IF((Assumptions!$C$22+$P27)=0,1,Assumptions!$C$22+$P27)*(1-Assumptions!$C$23)-INDEX('Debt Schedule'!$C$8:$L$8,Assumptions!$H$15)-INDEX('Debt Schedule'!$C$19:$L$19,Assumptions!$H$15),0))</f>
        <v>0</v>
      </c>
      <c r="L27" s="98" t="n">
        <f aca="false" t="array" ref="L27:L27">IF(L$2&gt;Assumptions!$H$15,0,(INDEX('Pro Forma'!$D$26:$M$26,L$2)+INDEX('Pro Forma'!$D$9:$M$9,L$2)*(((1+Assumptions!$H$16+$O27)/(1+Assumptions!$H$16))^L$2-1))-IF(Assumptions!$C$37=1,Assumptions!$C$68,IF(Assumptions!$C$37=2,Assumptions!$C$69,IF(L$2&lt;=Assumptions!$C$41,Assumptions!$C$68,Assumptions!$C$69)))-Assumptions!$C$58-IF(Assumptions!$C$28=1,IF(L$2=1,Assumptions!$C$26,0),Assumptions!$C$26/Assumptions!$H$15)-Assumptions!$C$33+IF(L$2=Assumptions!$H$15,(INDEX('Pro Forma'!$D$26:$M$26,Assumptions!$H$15)+INDEX('Pro Forma'!$D$9:$M$9,Assumptions!$H$15)*(((1+Assumptions!$H$16+$O27)/(1+Assumptions!$H$16))^Assumptions!$H$15-1))/IF((Assumptions!$C$22+$P27)=0,1,Assumptions!$C$22+$P27)*(1-Assumptions!$C$23)-INDEX('Debt Schedule'!$C$8:$L$8,Assumptions!$H$15)-INDEX('Debt Schedule'!$C$19:$L$19,Assumptions!$H$15),0))</f>
        <v>0</v>
      </c>
      <c r="M27" s="98" t="n">
        <f aca="false" t="array" ref="M27:M27">IF(M$2&gt;Assumptions!$H$15,0,(INDEX('Pro Forma'!$D$26:$M$26,M$2)+INDEX('Pro Forma'!$D$9:$M$9,M$2)*(((1+Assumptions!$H$16+$O27)/(1+Assumptions!$H$16))^M$2-1))-IF(Assumptions!$C$37=1,Assumptions!$C$68,IF(Assumptions!$C$37=2,Assumptions!$C$69,IF(M$2&lt;=Assumptions!$C$41,Assumptions!$C$68,Assumptions!$C$69)))-Assumptions!$C$58-IF(Assumptions!$C$28=1,IF(M$2=1,Assumptions!$C$26,0),Assumptions!$C$26/Assumptions!$H$15)-Assumptions!$C$33+IF(M$2=Assumptions!$H$15,(INDEX('Pro Forma'!$D$26:$M$26,Assumptions!$H$15)+INDEX('Pro Forma'!$D$9:$M$9,Assumptions!$H$15)*(((1+Assumptions!$H$16+$O27)/(1+Assumptions!$H$16))^Assumptions!$H$15-1))/IF((Assumptions!$C$22+$P27)=0,1,Assumptions!$C$22+$P27)*(1-Assumptions!$C$23)-INDEX('Debt Schedule'!$C$8:$L$8,Assumptions!$H$15)-INDEX('Debt Schedule'!$C$19:$L$19,Assumptions!$H$15),0))</f>
        <v>0</v>
      </c>
      <c r="N27" s="99" t="n">
        <f aca="false">IFERROR(IRR(C27:M27),0)</f>
        <v>0</v>
      </c>
      <c r="O27" s="100" t="n">
        <f aca="false">(MOD(ROW()-3,5)-2)*0.005</f>
        <v>0.01</v>
      </c>
      <c r="P27" s="100" t="n">
        <f aca="false">(INT((ROW()-3)/5)-2)*0.0025</f>
        <v>0.005</v>
      </c>
    </row>
    <row r="30" customFormat="false" ht="15" hidden="false" customHeight="true" outlineLevel="0" collapsed="false">
      <c r="A30" s="101" t="n">
        <f aca="false">IF(-C3=0,0,SUM(D3:M3)/(-C3))</f>
        <v>0</v>
      </c>
    </row>
    <row r="31" customFormat="false" ht="15" hidden="false" customHeight="true" outlineLevel="0" collapsed="false">
      <c r="A31" s="101" t="n">
        <f aca="false">IF(-C4=0,0,SUM(D4:M4)/(-C4))</f>
        <v>0</v>
      </c>
    </row>
    <row r="32" customFormat="false" ht="15" hidden="false" customHeight="true" outlineLevel="0" collapsed="false">
      <c r="A32" s="101" t="n">
        <f aca="false">IF(-C5=0,0,SUM(D5:M5)/(-C5))</f>
        <v>0</v>
      </c>
    </row>
    <row r="33" customFormat="false" ht="15" hidden="false" customHeight="true" outlineLevel="0" collapsed="false">
      <c r="A33" s="101" t="n">
        <f aca="false">IF(-C6=0,0,SUM(D6:M6)/(-C6))</f>
        <v>0</v>
      </c>
    </row>
    <row r="34" customFormat="false" ht="15" hidden="false" customHeight="true" outlineLevel="0" collapsed="false">
      <c r="A34" s="101" t="n">
        <f aca="false">IF(-C7=0,0,SUM(D7:M7)/(-C7))</f>
        <v>0</v>
      </c>
    </row>
    <row r="35" customFormat="false" ht="15" hidden="false" customHeight="true" outlineLevel="0" collapsed="false">
      <c r="A35" s="101" t="n">
        <f aca="false">IF(-C8=0,0,SUM(D8:M8)/(-C8))</f>
        <v>0</v>
      </c>
    </row>
    <row r="36" customFormat="false" ht="15" hidden="false" customHeight="true" outlineLevel="0" collapsed="false">
      <c r="A36" s="101" t="n">
        <f aca="false">IF(-C9=0,0,SUM(D9:M9)/(-C9))</f>
        <v>0</v>
      </c>
    </row>
    <row r="37" customFormat="false" ht="15" hidden="false" customHeight="true" outlineLevel="0" collapsed="false">
      <c r="A37" s="101" t="n">
        <f aca="false">IF(-C10=0,0,SUM(D10:M10)/(-C10))</f>
        <v>0</v>
      </c>
    </row>
    <row r="38" customFormat="false" ht="15" hidden="false" customHeight="true" outlineLevel="0" collapsed="false">
      <c r="A38" s="101" t="n">
        <f aca="false">IF(-C11=0,0,SUM(D11:M11)/(-C11))</f>
        <v>0</v>
      </c>
    </row>
    <row r="39" customFormat="false" ht="15" hidden="false" customHeight="true" outlineLevel="0" collapsed="false">
      <c r="A39" s="101" t="n">
        <f aca="false">IF(-C12=0,0,SUM(D12:M12)/(-C12))</f>
        <v>0</v>
      </c>
    </row>
    <row r="40" customFormat="false" ht="15" hidden="false" customHeight="true" outlineLevel="0" collapsed="false">
      <c r="A40" s="101" t="n">
        <f aca="false">IF(-C13=0,0,SUM(D13:M13)/(-C13))</f>
        <v>0</v>
      </c>
    </row>
    <row r="41" customFormat="false" ht="15" hidden="false" customHeight="true" outlineLevel="0" collapsed="false">
      <c r="A41" s="101" t="n">
        <f aca="false">IF(-C14=0,0,SUM(D14:M14)/(-C14))</f>
        <v>0</v>
      </c>
    </row>
    <row r="42" customFormat="false" ht="15" hidden="false" customHeight="true" outlineLevel="0" collapsed="false">
      <c r="A42" s="101" t="n">
        <f aca="false">IF(-C15=0,0,SUM(D15:M15)/(-C15))</f>
        <v>0</v>
      </c>
    </row>
    <row r="43" customFormat="false" ht="15" hidden="false" customHeight="true" outlineLevel="0" collapsed="false">
      <c r="A43" s="101" t="n">
        <f aca="false">IF(-C16=0,0,SUM(D16:M16)/(-C16))</f>
        <v>0</v>
      </c>
    </row>
    <row r="44" customFormat="false" ht="15" hidden="false" customHeight="true" outlineLevel="0" collapsed="false">
      <c r="A44" s="101" t="n">
        <f aca="false">IF(-C17=0,0,SUM(D17:M17)/(-C17))</f>
        <v>0</v>
      </c>
    </row>
    <row r="45" customFormat="false" ht="15" hidden="false" customHeight="true" outlineLevel="0" collapsed="false">
      <c r="A45" s="101" t="n">
        <f aca="false">IF(-C18=0,0,SUM(D18:M18)/(-C18))</f>
        <v>0</v>
      </c>
    </row>
    <row r="46" customFormat="false" ht="15" hidden="false" customHeight="true" outlineLevel="0" collapsed="false">
      <c r="A46" s="101" t="n">
        <f aca="false">IF(-C19=0,0,SUM(D19:M19)/(-C19))</f>
        <v>0</v>
      </c>
    </row>
    <row r="47" customFormat="false" ht="15" hidden="false" customHeight="true" outlineLevel="0" collapsed="false">
      <c r="A47" s="101" t="n">
        <f aca="false">IF(-C20=0,0,SUM(D20:M20)/(-C20))</f>
        <v>0</v>
      </c>
    </row>
    <row r="48" customFormat="false" ht="15" hidden="false" customHeight="true" outlineLevel="0" collapsed="false">
      <c r="A48" s="101" t="n">
        <f aca="false">IF(-C21=0,0,SUM(D21:M21)/(-C21))</f>
        <v>0</v>
      </c>
    </row>
    <row r="49" customFormat="false" ht="15" hidden="false" customHeight="true" outlineLevel="0" collapsed="false">
      <c r="A49" s="101" t="n">
        <f aca="false">IF(-C22=0,0,SUM(D22:M22)/(-C22))</f>
        <v>0</v>
      </c>
    </row>
    <row r="50" customFormat="false" ht="15" hidden="false" customHeight="true" outlineLevel="0" collapsed="false">
      <c r="A50" s="101" t="n">
        <f aca="false">IF(-C23=0,0,SUM(D23:M23)/(-C23))</f>
        <v>0</v>
      </c>
    </row>
    <row r="51" customFormat="false" ht="15" hidden="false" customHeight="true" outlineLevel="0" collapsed="false">
      <c r="A51" s="101" t="n">
        <f aca="false">IF(-C24=0,0,SUM(D24:M24)/(-C24))</f>
        <v>0</v>
      </c>
    </row>
    <row r="52" customFormat="false" ht="15" hidden="false" customHeight="true" outlineLevel="0" collapsed="false">
      <c r="A52" s="101" t="n">
        <f aca="false">IF(-C25=0,0,SUM(D25:M25)/(-C25))</f>
        <v>0</v>
      </c>
    </row>
    <row r="53" customFormat="false" ht="15" hidden="false" customHeight="true" outlineLevel="0" collapsed="false">
      <c r="A53" s="101" t="n">
        <f aca="false">IF(-C26=0,0,SUM(D26:M26)/(-C26))</f>
        <v>0</v>
      </c>
    </row>
    <row r="54" customFormat="false" ht="15" hidden="false" customHeight="true" outlineLevel="0" collapsed="false">
      <c r="A54" s="101" t="n">
        <f aca="false">IF(-C27=0,0,SUM(D27:M27)/(-C27))</f>
        <v>0</v>
      </c>
    </row>
    <row r="55" customFormat="false" ht="15" hidden="false" customHeight="false" outlineLevel="0" collapsed="false">
      <c r="A55" s="0" t="n">
        <f aca="false">IF(-C55=0,0,SUM(D55:M55)/(-C55))</f>
        <v>0</v>
      </c>
      <c r="C55" s="0" t="n">
        <f aca="false">-Assumptions!$C$70</f>
        <v>-0</v>
      </c>
      <c r="D55" s="0" t="n">
        <f aca="false" t="array" ref="D55:D55">IF(D$2&gt;Assumptions!$H$15,0,(INDEX('Pro Forma'!$D$26:$M$26,D$2)+INDEX('Pro Forma'!$D$9:$M$9,D$2)*(((1+Assumptions!$H$16+$O55)/(1+Assumptions!$H$16))^D$2-1))-IF(Assumptions!$C$37=1,Assumptions!$C$68,IF(Assumptions!$C$37=2,Assumptions!$C$69,IF(D$2&lt;=Assumptions!$C$41,Assumptions!$C$68,Assumptions!$C$69)))-Assumptions!$C$58-IF(Assumptions!$C$28=1,IF(D$2=1,Assumptions!$C$26,0),Assumptions!$C$26/Assumptions!$H$15)-Assumptions!$C$33+IF(D$2=Assumptions!$H$15,(INDEX('Pro Forma'!$D$26:$M$26,Assumptions!$H$15)+INDEX('Pro Forma'!$D$9:$M$9,Assumptions!$H$15)*(((1+Assumptions!$H$16+$O55)/(1+Assumptions!$H$16))^Assumptions!$H$15-1))/IF((Assumptions!$C$22+$P55)=0,1,Assumptions!$C$22+$P55)*(1-Assumptions!$C$23)-INDEX('Debt Schedule'!$C$8:$L$8,Assumptions!$H$15)-INDEX('Debt Schedule'!$C$19:$L$19,Assumptions!$H$15),0))</f>
        <v>0</v>
      </c>
      <c r="E55" s="0" t="n">
        <f aca="false" t="array" ref="E55:E55">IF(E$2&gt;Assumptions!$H$15,0,(INDEX('Pro Forma'!$D$26:$M$26,E$2)+INDEX('Pro Forma'!$D$9:$M$9,E$2)*(((1+Assumptions!$H$16+$O55)/(1+Assumptions!$H$16))^E$2-1))-IF(Assumptions!$C$37=1,Assumptions!$C$68,IF(Assumptions!$C$37=2,Assumptions!$C$69,IF(E$2&lt;=Assumptions!$C$41,Assumptions!$C$68,Assumptions!$C$69)))-Assumptions!$C$58-IF(Assumptions!$C$28=1,IF(E$2=1,Assumptions!$C$26,0),Assumptions!$C$26/Assumptions!$H$15)-Assumptions!$C$33+IF(E$2=Assumptions!$H$15,(INDEX('Pro Forma'!$D$26:$M$26,Assumptions!$H$15)+INDEX('Pro Forma'!$D$9:$M$9,Assumptions!$H$15)*(((1+Assumptions!$H$16+$O55)/(1+Assumptions!$H$16))^Assumptions!$H$15-1))/IF((Assumptions!$C$22+$P55)=0,1,Assumptions!$C$22+$P55)*(1-Assumptions!$C$23)-INDEX('Debt Schedule'!$C$8:$L$8,Assumptions!$H$15)-INDEX('Debt Schedule'!$C$19:$L$19,Assumptions!$H$15),0))</f>
        <v>0</v>
      </c>
      <c r="F55" s="0" t="n">
        <f aca="false" t="array" ref="F55:F55">IF(F$2&gt;Assumptions!$H$15,0,(INDEX('Pro Forma'!$D$26:$M$26,F$2)+INDEX('Pro Forma'!$D$9:$M$9,F$2)*(((1+Assumptions!$H$16+$O55)/(1+Assumptions!$H$16))^F$2-1))-IF(Assumptions!$C$37=1,Assumptions!$C$68,IF(Assumptions!$C$37=2,Assumptions!$C$69,IF(F$2&lt;=Assumptions!$C$41,Assumptions!$C$68,Assumptions!$C$69)))-Assumptions!$C$58-IF(Assumptions!$C$28=1,IF(F$2=1,Assumptions!$C$26,0),Assumptions!$C$26/Assumptions!$H$15)-Assumptions!$C$33+IF(F$2=Assumptions!$H$15,(INDEX('Pro Forma'!$D$26:$M$26,Assumptions!$H$15)+INDEX('Pro Forma'!$D$9:$M$9,Assumptions!$H$15)*(((1+Assumptions!$H$16+$O55)/(1+Assumptions!$H$16))^Assumptions!$H$15-1))/IF((Assumptions!$C$22+$P55)=0,1,Assumptions!$C$22+$P55)*(1-Assumptions!$C$23)-INDEX('Debt Schedule'!$C$8:$L$8,Assumptions!$H$15)-INDEX('Debt Schedule'!$C$19:$L$19,Assumptions!$H$15),0))</f>
        <v>0</v>
      </c>
      <c r="G55" s="0" t="n">
        <f aca="false" t="array" ref="G55:G55">IF(G$2&gt;Assumptions!$H$15,0,(INDEX('Pro Forma'!$D$26:$M$26,G$2)+INDEX('Pro Forma'!$D$9:$M$9,G$2)*(((1+Assumptions!$H$16+$O55)/(1+Assumptions!$H$16))^G$2-1))-IF(Assumptions!$C$37=1,Assumptions!$C$68,IF(Assumptions!$C$37=2,Assumptions!$C$69,IF(G$2&lt;=Assumptions!$C$41,Assumptions!$C$68,Assumptions!$C$69)))-Assumptions!$C$58-IF(Assumptions!$C$28=1,IF(G$2=1,Assumptions!$C$26,0),Assumptions!$C$26/Assumptions!$H$15)-Assumptions!$C$33+IF(G$2=Assumptions!$H$15,(INDEX('Pro Forma'!$D$26:$M$26,Assumptions!$H$15)+INDEX('Pro Forma'!$D$9:$M$9,Assumptions!$H$15)*(((1+Assumptions!$H$16+$O55)/(1+Assumptions!$H$16))^Assumptions!$H$15-1))/IF((Assumptions!$C$22+$P55)=0,1,Assumptions!$C$22+$P55)*(1-Assumptions!$C$23)-INDEX('Debt Schedule'!$C$8:$L$8,Assumptions!$H$15)-INDEX('Debt Schedule'!$C$19:$L$19,Assumptions!$H$15),0))</f>
        <v>0</v>
      </c>
      <c r="H55" s="0" t="n">
        <f aca="false" t="array" ref="H55:H55">IF(H$2&gt;Assumptions!$H$15,0,(INDEX('Pro Forma'!$D$26:$M$26,H$2)+INDEX('Pro Forma'!$D$9:$M$9,H$2)*(((1+Assumptions!$H$16+$O55)/(1+Assumptions!$H$16))^H$2-1))-IF(Assumptions!$C$37=1,Assumptions!$C$68,IF(Assumptions!$C$37=2,Assumptions!$C$69,IF(H$2&lt;=Assumptions!$C$41,Assumptions!$C$68,Assumptions!$C$69)))-Assumptions!$C$58-IF(Assumptions!$C$28=1,IF(H$2=1,Assumptions!$C$26,0),Assumptions!$C$26/Assumptions!$H$15)-Assumptions!$C$33+IF(H$2=Assumptions!$H$15,(INDEX('Pro Forma'!$D$26:$M$26,Assumptions!$H$15)+INDEX('Pro Forma'!$D$9:$M$9,Assumptions!$H$15)*(((1+Assumptions!$H$16+$O55)/(1+Assumptions!$H$16))^Assumptions!$H$15-1))/IF((Assumptions!$C$22+$P55)=0,1,Assumptions!$C$22+$P55)*(1-Assumptions!$C$23)-INDEX('Debt Schedule'!$C$8:$L$8,Assumptions!$H$15)-INDEX('Debt Schedule'!$C$19:$L$19,Assumptions!$H$15),0))</f>
        <v>0</v>
      </c>
      <c r="I55" s="0" t="n">
        <f aca="false" t="array" ref="I55:I55">IF(I$2&gt;Assumptions!$H$15,0,(INDEX('Pro Forma'!$D$26:$M$26,I$2)+INDEX('Pro Forma'!$D$9:$M$9,I$2)*(((1+Assumptions!$H$16+$O55)/(1+Assumptions!$H$16))^I$2-1))-IF(Assumptions!$C$37=1,Assumptions!$C$68,IF(Assumptions!$C$37=2,Assumptions!$C$69,IF(I$2&lt;=Assumptions!$C$41,Assumptions!$C$68,Assumptions!$C$69)))-Assumptions!$C$58-IF(Assumptions!$C$28=1,IF(I$2=1,Assumptions!$C$26,0),Assumptions!$C$26/Assumptions!$H$15)-Assumptions!$C$33+IF(I$2=Assumptions!$H$15,(INDEX('Pro Forma'!$D$26:$M$26,Assumptions!$H$15)+INDEX('Pro Forma'!$D$9:$M$9,Assumptions!$H$15)*(((1+Assumptions!$H$16+$O55)/(1+Assumptions!$H$16))^Assumptions!$H$15-1))/IF((Assumptions!$C$22+$P55)=0,1,Assumptions!$C$22+$P55)*(1-Assumptions!$C$23)-INDEX('Debt Schedule'!$C$8:$L$8,Assumptions!$H$15)-INDEX('Debt Schedule'!$C$19:$L$19,Assumptions!$H$15),0))</f>
        <v>0</v>
      </c>
      <c r="J55" s="0" t="n">
        <f aca="false" t="array" ref="J55:J55">IF(J$2&gt;Assumptions!$H$15,0,(INDEX('Pro Forma'!$D$26:$M$26,J$2)+INDEX('Pro Forma'!$D$9:$M$9,J$2)*(((1+Assumptions!$H$16+$O55)/(1+Assumptions!$H$16))^J$2-1))-IF(Assumptions!$C$37=1,Assumptions!$C$68,IF(Assumptions!$C$37=2,Assumptions!$C$69,IF(J$2&lt;=Assumptions!$C$41,Assumptions!$C$68,Assumptions!$C$69)))-Assumptions!$C$58-IF(Assumptions!$C$28=1,IF(J$2=1,Assumptions!$C$26,0),Assumptions!$C$26/Assumptions!$H$15)-Assumptions!$C$33+IF(J$2=Assumptions!$H$15,(INDEX('Pro Forma'!$D$26:$M$26,Assumptions!$H$15)+INDEX('Pro Forma'!$D$9:$M$9,Assumptions!$H$15)*(((1+Assumptions!$H$16+$O55)/(1+Assumptions!$H$16))^Assumptions!$H$15-1))/IF((Assumptions!$C$22+$P55)=0,1,Assumptions!$C$22+$P55)*(1-Assumptions!$C$23)-INDEX('Debt Schedule'!$C$8:$L$8,Assumptions!$H$15)-INDEX('Debt Schedule'!$C$19:$L$19,Assumptions!$H$15),0))</f>
        <v>0</v>
      </c>
      <c r="K55" s="0" t="n">
        <f aca="false" t="array" ref="K55:K55">IF(K$2&gt;Assumptions!$H$15,0,(INDEX('Pro Forma'!$D$26:$M$26,K$2)+INDEX('Pro Forma'!$D$9:$M$9,K$2)*(((1+Assumptions!$H$16+$O55)/(1+Assumptions!$H$16))^K$2-1))-IF(Assumptions!$C$37=1,Assumptions!$C$68,IF(Assumptions!$C$37=2,Assumptions!$C$69,IF(K$2&lt;=Assumptions!$C$41,Assumptions!$C$68,Assumptions!$C$69)))-Assumptions!$C$58-IF(Assumptions!$C$28=1,IF(K$2=1,Assumptions!$C$26,0),Assumptions!$C$26/Assumptions!$H$15)-Assumptions!$C$33+IF(K$2=Assumptions!$H$15,(INDEX('Pro Forma'!$D$26:$M$26,Assumptions!$H$15)+INDEX('Pro Forma'!$D$9:$M$9,Assumptions!$H$15)*(((1+Assumptions!$H$16+$O55)/(1+Assumptions!$H$16))^Assumptions!$H$15-1))/IF((Assumptions!$C$22+$P55)=0,1,Assumptions!$C$22+$P55)*(1-Assumptions!$C$23)-INDEX('Debt Schedule'!$C$8:$L$8,Assumptions!$H$15)-INDEX('Debt Schedule'!$C$19:$L$19,Assumptions!$H$15),0))</f>
        <v>0</v>
      </c>
      <c r="L55" s="0" t="n">
        <f aca="false" t="array" ref="L55:L55">IF(L$2&gt;Assumptions!$H$15,0,(INDEX('Pro Forma'!$D$26:$M$26,L$2)+INDEX('Pro Forma'!$D$9:$M$9,L$2)*(((1+Assumptions!$H$16+$O55)/(1+Assumptions!$H$16))^L$2-1))-IF(Assumptions!$C$37=1,Assumptions!$C$68,IF(Assumptions!$C$37=2,Assumptions!$C$69,IF(L$2&lt;=Assumptions!$C$41,Assumptions!$C$68,Assumptions!$C$69)))-Assumptions!$C$58-IF(Assumptions!$C$28=1,IF(L$2=1,Assumptions!$C$26,0),Assumptions!$C$26/Assumptions!$H$15)-Assumptions!$C$33+IF(L$2=Assumptions!$H$15,(INDEX('Pro Forma'!$D$26:$M$26,Assumptions!$H$15)+INDEX('Pro Forma'!$D$9:$M$9,Assumptions!$H$15)*(((1+Assumptions!$H$16+$O55)/(1+Assumptions!$H$16))^Assumptions!$H$15-1))/IF((Assumptions!$C$22+$P55)=0,1,Assumptions!$C$22+$P55)*(1-Assumptions!$C$23)-INDEX('Debt Schedule'!$C$8:$L$8,Assumptions!$H$15)-INDEX('Debt Schedule'!$C$19:$L$19,Assumptions!$H$15),0))</f>
        <v>0</v>
      </c>
      <c r="M55" s="0" t="n">
        <f aca="false" t="array" ref="M55:M55">IF(M$2&gt;Assumptions!$H$15,0,(INDEX('Pro Forma'!$D$26:$M$26,M$2)+INDEX('Pro Forma'!$D$9:$M$9,M$2)*(((1+Assumptions!$H$16+$O55)/(1+Assumptions!$H$16))^M$2-1))-IF(Assumptions!$C$37=1,Assumptions!$C$68,IF(Assumptions!$C$37=2,Assumptions!$C$69,IF(M$2&lt;=Assumptions!$C$41,Assumptions!$C$68,Assumptions!$C$69)))-Assumptions!$C$58-IF(Assumptions!$C$28=1,IF(M$2=1,Assumptions!$C$26,0),Assumptions!$C$26/Assumptions!$H$15)-Assumptions!$C$33+IF(M$2=Assumptions!$H$15,(INDEX('Pro Forma'!$D$26:$M$26,Assumptions!$H$15)+INDEX('Pro Forma'!$D$9:$M$9,Assumptions!$H$15)*(((1+Assumptions!$H$16+$O55)/(1+Assumptions!$H$16))^Assumptions!$H$15-1))/IF((Assumptions!$C$22+$P55)=0,1,Assumptions!$C$22+$P55)*(1-Assumptions!$C$23)-INDEX('Debt Schedule'!$C$8:$L$8,Assumptions!$H$15)-INDEX('Debt Schedule'!$C$19:$L$19,Assumptions!$H$15),0))</f>
        <v>0</v>
      </c>
      <c r="N55" s="0" t="n">
        <f aca="false">IFERROR(IRR(C55:M55),0)</f>
        <v>0</v>
      </c>
      <c r="O55" s="0" t="n">
        <v>-0.015</v>
      </c>
      <c r="P55" s="0" t="n">
        <v>-0.005</v>
      </c>
    </row>
    <row r="56" customFormat="false" ht="15" hidden="false" customHeight="false" outlineLevel="0" collapsed="false">
      <c r="A56" s="0" t="n">
        <f aca="false">IF(-C56=0,0,SUM(D56:M56)/(-C56))</f>
        <v>0</v>
      </c>
      <c r="C56" s="0" t="n">
        <f aca="false">-Assumptions!$C$70</f>
        <v>-0</v>
      </c>
      <c r="D56" s="0" t="n">
        <f aca="false" t="array" ref="D56:D56">IF(D$2&gt;Assumptions!$H$15,0,(INDEX('Pro Forma'!$D$26:$M$26,D$2)+INDEX('Pro Forma'!$D$9:$M$9,D$2)*(((1+Assumptions!$H$16+$O56)/(1+Assumptions!$H$16))^D$2-1))-IF(Assumptions!$C$37=1,Assumptions!$C$68,IF(Assumptions!$C$37=2,Assumptions!$C$69,IF(D$2&lt;=Assumptions!$C$41,Assumptions!$C$68,Assumptions!$C$69)))-Assumptions!$C$58-IF(Assumptions!$C$28=1,IF(D$2=1,Assumptions!$C$26,0),Assumptions!$C$26/Assumptions!$H$15)-Assumptions!$C$33+IF(D$2=Assumptions!$H$15,(INDEX('Pro Forma'!$D$26:$M$26,Assumptions!$H$15)+INDEX('Pro Forma'!$D$9:$M$9,Assumptions!$H$15)*(((1+Assumptions!$H$16+$O56)/(1+Assumptions!$H$16))^Assumptions!$H$15-1))/IF((Assumptions!$C$22+$P56)=0,1,Assumptions!$C$22+$P56)*(1-Assumptions!$C$23)-INDEX('Debt Schedule'!$C$8:$L$8,Assumptions!$H$15)-INDEX('Debt Schedule'!$C$19:$L$19,Assumptions!$H$15),0))</f>
        <v>0</v>
      </c>
      <c r="E56" s="0" t="n">
        <f aca="false" t="array" ref="E56:E56">IF(E$2&gt;Assumptions!$H$15,0,(INDEX('Pro Forma'!$D$26:$M$26,E$2)+INDEX('Pro Forma'!$D$9:$M$9,E$2)*(((1+Assumptions!$H$16+$O56)/(1+Assumptions!$H$16))^E$2-1))-IF(Assumptions!$C$37=1,Assumptions!$C$68,IF(Assumptions!$C$37=2,Assumptions!$C$69,IF(E$2&lt;=Assumptions!$C$41,Assumptions!$C$68,Assumptions!$C$69)))-Assumptions!$C$58-IF(Assumptions!$C$28=1,IF(E$2=1,Assumptions!$C$26,0),Assumptions!$C$26/Assumptions!$H$15)-Assumptions!$C$33+IF(E$2=Assumptions!$H$15,(INDEX('Pro Forma'!$D$26:$M$26,Assumptions!$H$15)+INDEX('Pro Forma'!$D$9:$M$9,Assumptions!$H$15)*(((1+Assumptions!$H$16+$O56)/(1+Assumptions!$H$16))^Assumptions!$H$15-1))/IF((Assumptions!$C$22+$P56)=0,1,Assumptions!$C$22+$P56)*(1-Assumptions!$C$23)-INDEX('Debt Schedule'!$C$8:$L$8,Assumptions!$H$15)-INDEX('Debt Schedule'!$C$19:$L$19,Assumptions!$H$15),0))</f>
        <v>0</v>
      </c>
      <c r="F56" s="0" t="n">
        <f aca="false" t="array" ref="F56:F56">IF(F$2&gt;Assumptions!$H$15,0,(INDEX('Pro Forma'!$D$26:$M$26,F$2)+INDEX('Pro Forma'!$D$9:$M$9,F$2)*(((1+Assumptions!$H$16+$O56)/(1+Assumptions!$H$16))^F$2-1))-IF(Assumptions!$C$37=1,Assumptions!$C$68,IF(Assumptions!$C$37=2,Assumptions!$C$69,IF(F$2&lt;=Assumptions!$C$41,Assumptions!$C$68,Assumptions!$C$69)))-Assumptions!$C$58-IF(Assumptions!$C$28=1,IF(F$2=1,Assumptions!$C$26,0),Assumptions!$C$26/Assumptions!$H$15)-Assumptions!$C$33+IF(F$2=Assumptions!$H$15,(INDEX('Pro Forma'!$D$26:$M$26,Assumptions!$H$15)+INDEX('Pro Forma'!$D$9:$M$9,Assumptions!$H$15)*(((1+Assumptions!$H$16+$O56)/(1+Assumptions!$H$16))^Assumptions!$H$15-1))/IF((Assumptions!$C$22+$P56)=0,1,Assumptions!$C$22+$P56)*(1-Assumptions!$C$23)-INDEX('Debt Schedule'!$C$8:$L$8,Assumptions!$H$15)-INDEX('Debt Schedule'!$C$19:$L$19,Assumptions!$H$15),0))</f>
        <v>0</v>
      </c>
      <c r="G56" s="0" t="n">
        <f aca="false" t="array" ref="G56:G56">IF(G$2&gt;Assumptions!$H$15,0,(INDEX('Pro Forma'!$D$26:$M$26,G$2)+INDEX('Pro Forma'!$D$9:$M$9,G$2)*(((1+Assumptions!$H$16+$O56)/(1+Assumptions!$H$16))^G$2-1))-IF(Assumptions!$C$37=1,Assumptions!$C$68,IF(Assumptions!$C$37=2,Assumptions!$C$69,IF(G$2&lt;=Assumptions!$C$41,Assumptions!$C$68,Assumptions!$C$69)))-Assumptions!$C$58-IF(Assumptions!$C$28=1,IF(G$2=1,Assumptions!$C$26,0),Assumptions!$C$26/Assumptions!$H$15)-Assumptions!$C$33+IF(G$2=Assumptions!$H$15,(INDEX('Pro Forma'!$D$26:$M$26,Assumptions!$H$15)+INDEX('Pro Forma'!$D$9:$M$9,Assumptions!$H$15)*(((1+Assumptions!$H$16+$O56)/(1+Assumptions!$H$16))^Assumptions!$H$15-1))/IF((Assumptions!$C$22+$P56)=0,1,Assumptions!$C$22+$P56)*(1-Assumptions!$C$23)-INDEX('Debt Schedule'!$C$8:$L$8,Assumptions!$H$15)-INDEX('Debt Schedule'!$C$19:$L$19,Assumptions!$H$15),0))</f>
        <v>0</v>
      </c>
      <c r="H56" s="0" t="n">
        <f aca="false" t="array" ref="H56:H56">IF(H$2&gt;Assumptions!$H$15,0,(INDEX('Pro Forma'!$D$26:$M$26,H$2)+INDEX('Pro Forma'!$D$9:$M$9,H$2)*(((1+Assumptions!$H$16+$O56)/(1+Assumptions!$H$16))^H$2-1))-IF(Assumptions!$C$37=1,Assumptions!$C$68,IF(Assumptions!$C$37=2,Assumptions!$C$69,IF(H$2&lt;=Assumptions!$C$41,Assumptions!$C$68,Assumptions!$C$69)))-Assumptions!$C$58-IF(Assumptions!$C$28=1,IF(H$2=1,Assumptions!$C$26,0),Assumptions!$C$26/Assumptions!$H$15)-Assumptions!$C$33+IF(H$2=Assumptions!$H$15,(INDEX('Pro Forma'!$D$26:$M$26,Assumptions!$H$15)+INDEX('Pro Forma'!$D$9:$M$9,Assumptions!$H$15)*(((1+Assumptions!$H$16+$O56)/(1+Assumptions!$H$16))^Assumptions!$H$15-1))/IF((Assumptions!$C$22+$P56)=0,1,Assumptions!$C$22+$P56)*(1-Assumptions!$C$23)-INDEX('Debt Schedule'!$C$8:$L$8,Assumptions!$H$15)-INDEX('Debt Schedule'!$C$19:$L$19,Assumptions!$H$15),0))</f>
        <v>0</v>
      </c>
      <c r="I56" s="0" t="n">
        <f aca="false" t="array" ref="I56:I56">IF(I$2&gt;Assumptions!$H$15,0,(INDEX('Pro Forma'!$D$26:$M$26,I$2)+INDEX('Pro Forma'!$D$9:$M$9,I$2)*(((1+Assumptions!$H$16+$O56)/(1+Assumptions!$H$16))^I$2-1))-IF(Assumptions!$C$37=1,Assumptions!$C$68,IF(Assumptions!$C$37=2,Assumptions!$C$69,IF(I$2&lt;=Assumptions!$C$41,Assumptions!$C$68,Assumptions!$C$69)))-Assumptions!$C$58-IF(Assumptions!$C$28=1,IF(I$2=1,Assumptions!$C$26,0),Assumptions!$C$26/Assumptions!$H$15)-Assumptions!$C$33+IF(I$2=Assumptions!$H$15,(INDEX('Pro Forma'!$D$26:$M$26,Assumptions!$H$15)+INDEX('Pro Forma'!$D$9:$M$9,Assumptions!$H$15)*(((1+Assumptions!$H$16+$O56)/(1+Assumptions!$H$16))^Assumptions!$H$15-1))/IF((Assumptions!$C$22+$P56)=0,1,Assumptions!$C$22+$P56)*(1-Assumptions!$C$23)-INDEX('Debt Schedule'!$C$8:$L$8,Assumptions!$H$15)-INDEX('Debt Schedule'!$C$19:$L$19,Assumptions!$H$15),0))</f>
        <v>0</v>
      </c>
      <c r="J56" s="0" t="n">
        <f aca="false" t="array" ref="J56:J56">IF(J$2&gt;Assumptions!$H$15,0,(INDEX('Pro Forma'!$D$26:$M$26,J$2)+INDEX('Pro Forma'!$D$9:$M$9,J$2)*(((1+Assumptions!$H$16+$O56)/(1+Assumptions!$H$16))^J$2-1))-IF(Assumptions!$C$37=1,Assumptions!$C$68,IF(Assumptions!$C$37=2,Assumptions!$C$69,IF(J$2&lt;=Assumptions!$C$41,Assumptions!$C$68,Assumptions!$C$69)))-Assumptions!$C$58-IF(Assumptions!$C$28=1,IF(J$2=1,Assumptions!$C$26,0),Assumptions!$C$26/Assumptions!$H$15)-Assumptions!$C$33+IF(J$2=Assumptions!$H$15,(INDEX('Pro Forma'!$D$26:$M$26,Assumptions!$H$15)+INDEX('Pro Forma'!$D$9:$M$9,Assumptions!$H$15)*(((1+Assumptions!$H$16+$O56)/(1+Assumptions!$H$16))^Assumptions!$H$15-1))/IF((Assumptions!$C$22+$P56)=0,1,Assumptions!$C$22+$P56)*(1-Assumptions!$C$23)-INDEX('Debt Schedule'!$C$8:$L$8,Assumptions!$H$15)-INDEX('Debt Schedule'!$C$19:$L$19,Assumptions!$H$15),0))</f>
        <v>0</v>
      </c>
      <c r="K56" s="0" t="n">
        <f aca="false" t="array" ref="K56:K56">IF(K$2&gt;Assumptions!$H$15,0,(INDEX('Pro Forma'!$D$26:$M$26,K$2)+INDEX('Pro Forma'!$D$9:$M$9,K$2)*(((1+Assumptions!$H$16+$O56)/(1+Assumptions!$H$16))^K$2-1))-IF(Assumptions!$C$37=1,Assumptions!$C$68,IF(Assumptions!$C$37=2,Assumptions!$C$69,IF(K$2&lt;=Assumptions!$C$41,Assumptions!$C$68,Assumptions!$C$69)))-Assumptions!$C$58-IF(Assumptions!$C$28=1,IF(K$2=1,Assumptions!$C$26,0),Assumptions!$C$26/Assumptions!$H$15)-Assumptions!$C$33+IF(K$2=Assumptions!$H$15,(INDEX('Pro Forma'!$D$26:$M$26,Assumptions!$H$15)+INDEX('Pro Forma'!$D$9:$M$9,Assumptions!$H$15)*(((1+Assumptions!$H$16+$O56)/(1+Assumptions!$H$16))^Assumptions!$H$15-1))/IF((Assumptions!$C$22+$P56)=0,1,Assumptions!$C$22+$P56)*(1-Assumptions!$C$23)-INDEX('Debt Schedule'!$C$8:$L$8,Assumptions!$H$15)-INDEX('Debt Schedule'!$C$19:$L$19,Assumptions!$H$15),0))</f>
        <v>0</v>
      </c>
      <c r="L56" s="0" t="n">
        <f aca="false" t="array" ref="L56:L56">IF(L$2&gt;Assumptions!$H$15,0,(INDEX('Pro Forma'!$D$26:$M$26,L$2)+INDEX('Pro Forma'!$D$9:$M$9,L$2)*(((1+Assumptions!$H$16+$O56)/(1+Assumptions!$H$16))^L$2-1))-IF(Assumptions!$C$37=1,Assumptions!$C$68,IF(Assumptions!$C$37=2,Assumptions!$C$69,IF(L$2&lt;=Assumptions!$C$41,Assumptions!$C$68,Assumptions!$C$69)))-Assumptions!$C$58-IF(Assumptions!$C$28=1,IF(L$2=1,Assumptions!$C$26,0),Assumptions!$C$26/Assumptions!$H$15)-Assumptions!$C$33+IF(L$2=Assumptions!$H$15,(INDEX('Pro Forma'!$D$26:$M$26,Assumptions!$H$15)+INDEX('Pro Forma'!$D$9:$M$9,Assumptions!$H$15)*(((1+Assumptions!$H$16+$O56)/(1+Assumptions!$H$16))^Assumptions!$H$15-1))/IF((Assumptions!$C$22+$P56)=0,1,Assumptions!$C$22+$P56)*(1-Assumptions!$C$23)-INDEX('Debt Schedule'!$C$8:$L$8,Assumptions!$H$15)-INDEX('Debt Schedule'!$C$19:$L$19,Assumptions!$H$15),0))</f>
        <v>0</v>
      </c>
      <c r="M56" s="0" t="n">
        <f aca="false" t="array" ref="M56:M56">IF(M$2&gt;Assumptions!$H$15,0,(INDEX('Pro Forma'!$D$26:$M$26,M$2)+INDEX('Pro Forma'!$D$9:$M$9,M$2)*(((1+Assumptions!$H$16+$O56)/(1+Assumptions!$H$16))^M$2-1))-IF(Assumptions!$C$37=1,Assumptions!$C$68,IF(Assumptions!$C$37=2,Assumptions!$C$69,IF(M$2&lt;=Assumptions!$C$41,Assumptions!$C$68,Assumptions!$C$69)))-Assumptions!$C$58-IF(Assumptions!$C$28=1,IF(M$2=1,Assumptions!$C$26,0),Assumptions!$C$26/Assumptions!$H$15)-Assumptions!$C$33+IF(M$2=Assumptions!$H$15,(INDEX('Pro Forma'!$D$26:$M$26,Assumptions!$H$15)+INDEX('Pro Forma'!$D$9:$M$9,Assumptions!$H$15)*(((1+Assumptions!$H$16+$O56)/(1+Assumptions!$H$16))^Assumptions!$H$15-1))/IF((Assumptions!$C$22+$P56)=0,1,Assumptions!$C$22+$P56)*(1-Assumptions!$C$23)-INDEX('Debt Schedule'!$C$8:$L$8,Assumptions!$H$15)-INDEX('Debt Schedule'!$C$19:$L$19,Assumptions!$H$15),0))</f>
        <v>0</v>
      </c>
      <c r="N56" s="0" t="n">
        <f aca="false">IFERROR(IRR(C56:M56),0)</f>
        <v>0</v>
      </c>
      <c r="O56" s="0" t="n">
        <v>-0.015</v>
      </c>
      <c r="P56" s="0" t="n">
        <v>-0.0025</v>
      </c>
    </row>
    <row r="57" customFormat="false" ht="15" hidden="false" customHeight="false" outlineLevel="0" collapsed="false">
      <c r="A57" s="0" t="n">
        <f aca="false">IF(-C57=0,0,SUM(D57:M57)/(-C57))</f>
        <v>0</v>
      </c>
      <c r="C57" s="0" t="n">
        <f aca="false">-Assumptions!$C$70</f>
        <v>-0</v>
      </c>
      <c r="D57" s="0" t="n">
        <f aca="false" t="array" ref="D57:D57">IF(D$2&gt;Assumptions!$H$15,0,(INDEX('Pro Forma'!$D$26:$M$26,D$2)+INDEX('Pro Forma'!$D$9:$M$9,D$2)*(((1+Assumptions!$H$16+$O57)/(1+Assumptions!$H$16))^D$2-1))-IF(Assumptions!$C$37=1,Assumptions!$C$68,IF(Assumptions!$C$37=2,Assumptions!$C$69,IF(D$2&lt;=Assumptions!$C$41,Assumptions!$C$68,Assumptions!$C$69)))-Assumptions!$C$58-IF(Assumptions!$C$28=1,IF(D$2=1,Assumptions!$C$26,0),Assumptions!$C$26/Assumptions!$H$15)-Assumptions!$C$33+IF(D$2=Assumptions!$H$15,(INDEX('Pro Forma'!$D$26:$M$26,Assumptions!$H$15)+INDEX('Pro Forma'!$D$9:$M$9,Assumptions!$H$15)*(((1+Assumptions!$H$16+$O57)/(1+Assumptions!$H$16))^Assumptions!$H$15-1))/IF((Assumptions!$C$22+$P57)=0,1,Assumptions!$C$22+$P57)*(1-Assumptions!$C$23)-INDEX('Debt Schedule'!$C$8:$L$8,Assumptions!$H$15)-INDEX('Debt Schedule'!$C$19:$L$19,Assumptions!$H$15),0))</f>
        <v>0</v>
      </c>
      <c r="E57" s="0" t="n">
        <f aca="false" t="array" ref="E57:E57">IF(E$2&gt;Assumptions!$H$15,0,(INDEX('Pro Forma'!$D$26:$M$26,E$2)+INDEX('Pro Forma'!$D$9:$M$9,E$2)*(((1+Assumptions!$H$16+$O57)/(1+Assumptions!$H$16))^E$2-1))-IF(Assumptions!$C$37=1,Assumptions!$C$68,IF(Assumptions!$C$37=2,Assumptions!$C$69,IF(E$2&lt;=Assumptions!$C$41,Assumptions!$C$68,Assumptions!$C$69)))-Assumptions!$C$58-IF(Assumptions!$C$28=1,IF(E$2=1,Assumptions!$C$26,0),Assumptions!$C$26/Assumptions!$H$15)-Assumptions!$C$33+IF(E$2=Assumptions!$H$15,(INDEX('Pro Forma'!$D$26:$M$26,Assumptions!$H$15)+INDEX('Pro Forma'!$D$9:$M$9,Assumptions!$H$15)*(((1+Assumptions!$H$16+$O57)/(1+Assumptions!$H$16))^Assumptions!$H$15-1))/IF((Assumptions!$C$22+$P57)=0,1,Assumptions!$C$22+$P57)*(1-Assumptions!$C$23)-INDEX('Debt Schedule'!$C$8:$L$8,Assumptions!$H$15)-INDEX('Debt Schedule'!$C$19:$L$19,Assumptions!$H$15),0))</f>
        <v>0</v>
      </c>
      <c r="F57" s="0" t="n">
        <f aca="false" t="array" ref="F57:F57">IF(F$2&gt;Assumptions!$H$15,0,(INDEX('Pro Forma'!$D$26:$M$26,F$2)+INDEX('Pro Forma'!$D$9:$M$9,F$2)*(((1+Assumptions!$H$16+$O57)/(1+Assumptions!$H$16))^F$2-1))-IF(Assumptions!$C$37=1,Assumptions!$C$68,IF(Assumptions!$C$37=2,Assumptions!$C$69,IF(F$2&lt;=Assumptions!$C$41,Assumptions!$C$68,Assumptions!$C$69)))-Assumptions!$C$58-IF(Assumptions!$C$28=1,IF(F$2=1,Assumptions!$C$26,0),Assumptions!$C$26/Assumptions!$H$15)-Assumptions!$C$33+IF(F$2=Assumptions!$H$15,(INDEX('Pro Forma'!$D$26:$M$26,Assumptions!$H$15)+INDEX('Pro Forma'!$D$9:$M$9,Assumptions!$H$15)*(((1+Assumptions!$H$16+$O57)/(1+Assumptions!$H$16))^Assumptions!$H$15-1))/IF((Assumptions!$C$22+$P57)=0,1,Assumptions!$C$22+$P57)*(1-Assumptions!$C$23)-INDEX('Debt Schedule'!$C$8:$L$8,Assumptions!$H$15)-INDEX('Debt Schedule'!$C$19:$L$19,Assumptions!$H$15),0))</f>
        <v>0</v>
      </c>
      <c r="G57" s="0" t="n">
        <f aca="false" t="array" ref="G57:G57">IF(G$2&gt;Assumptions!$H$15,0,(INDEX('Pro Forma'!$D$26:$M$26,G$2)+INDEX('Pro Forma'!$D$9:$M$9,G$2)*(((1+Assumptions!$H$16+$O57)/(1+Assumptions!$H$16))^G$2-1))-IF(Assumptions!$C$37=1,Assumptions!$C$68,IF(Assumptions!$C$37=2,Assumptions!$C$69,IF(G$2&lt;=Assumptions!$C$41,Assumptions!$C$68,Assumptions!$C$69)))-Assumptions!$C$58-IF(Assumptions!$C$28=1,IF(G$2=1,Assumptions!$C$26,0),Assumptions!$C$26/Assumptions!$H$15)-Assumptions!$C$33+IF(G$2=Assumptions!$H$15,(INDEX('Pro Forma'!$D$26:$M$26,Assumptions!$H$15)+INDEX('Pro Forma'!$D$9:$M$9,Assumptions!$H$15)*(((1+Assumptions!$H$16+$O57)/(1+Assumptions!$H$16))^Assumptions!$H$15-1))/IF((Assumptions!$C$22+$P57)=0,1,Assumptions!$C$22+$P57)*(1-Assumptions!$C$23)-INDEX('Debt Schedule'!$C$8:$L$8,Assumptions!$H$15)-INDEX('Debt Schedule'!$C$19:$L$19,Assumptions!$H$15),0))</f>
        <v>0</v>
      </c>
      <c r="H57" s="0" t="n">
        <f aca="false" t="array" ref="H57:H57">IF(H$2&gt;Assumptions!$H$15,0,(INDEX('Pro Forma'!$D$26:$M$26,H$2)+INDEX('Pro Forma'!$D$9:$M$9,H$2)*(((1+Assumptions!$H$16+$O57)/(1+Assumptions!$H$16))^H$2-1))-IF(Assumptions!$C$37=1,Assumptions!$C$68,IF(Assumptions!$C$37=2,Assumptions!$C$69,IF(H$2&lt;=Assumptions!$C$41,Assumptions!$C$68,Assumptions!$C$69)))-Assumptions!$C$58-IF(Assumptions!$C$28=1,IF(H$2=1,Assumptions!$C$26,0),Assumptions!$C$26/Assumptions!$H$15)-Assumptions!$C$33+IF(H$2=Assumptions!$H$15,(INDEX('Pro Forma'!$D$26:$M$26,Assumptions!$H$15)+INDEX('Pro Forma'!$D$9:$M$9,Assumptions!$H$15)*(((1+Assumptions!$H$16+$O57)/(1+Assumptions!$H$16))^Assumptions!$H$15-1))/IF((Assumptions!$C$22+$P57)=0,1,Assumptions!$C$22+$P57)*(1-Assumptions!$C$23)-INDEX('Debt Schedule'!$C$8:$L$8,Assumptions!$H$15)-INDEX('Debt Schedule'!$C$19:$L$19,Assumptions!$H$15),0))</f>
        <v>0</v>
      </c>
      <c r="I57" s="0" t="n">
        <f aca="false" t="array" ref="I57:I57">IF(I$2&gt;Assumptions!$H$15,0,(INDEX('Pro Forma'!$D$26:$M$26,I$2)+INDEX('Pro Forma'!$D$9:$M$9,I$2)*(((1+Assumptions!$H$16+$O57)/(1+Assumptions!$H$16))^I$2-1))-IF(Assumptions!$C$37=1,Assumptions!$C$68,IF(Assumptions!$C$37=2,Assumptions!$C$69,IF(I$2&lt;=Assumptions!$C$41,Assumptions!$C$68,Assumptions!$C$69)))-Assumptions!$C$58-IF(Assumptions!$C$28=1,IF(I$2=1,Assumptions!$C$26,0),Assumptions!$C$26/Assumptions!$H$15)-Assumptions!$C$33+IF(I$2=Assumptions!$H$15,(INDEX('Pro Forma'!$D$26:$M$26,Assumptions!$H$15)+INDEX('Pro Forma'!$D$9:$M$9,Assumptions!$H$15)*(((1+Assumptions!$H$16+$O57)/(1+Assumptions!$H$16))^Assumptions!$H$15-1))/IF((Assumptions!$C$22+$P57)=0,1,Assumptions!$C$22+$P57)*(1-Assumptions!$C$23)-INDEX('Debt Schedule'!$C$8:$L$8,Assumptions!$H$15)-INDEX('Debt Schedule'!$C$19:$L$19,Assumptions!$H$15),0))</f>
        <v>0</v>
      </c>
      <c r="J57" s="0" t="n">
        <f aca="false" t="array" ref="J57:J57">IF(J$2&gt;Assumptions!$H$15,0,(INDEX('Pro Forma'!$D$26:$M$26,J$2)+INDEX('Pro Forma'!$D$9:$M$9,J$2)*(((1+Assumptions!$H$16+$O57)/(1+Assumptions!$H$16))^J$2-1))-IF(Assumptions!$C$37=1,Assumptions!$C$68,IF(Assumptions!$C$37=2,Assumptions!$C$69,IF(J$2&lt;=Assumptions!$C$41,Assumptions!$C$68,Assumptions!$C$69)))-Assumptions!$C$58-IF(Assumptions!$C$28=1,IF(J$2=1,Assumptions!$C$26,0),Assumptions!$C$26/Assumptions!$H$15)-Assumptions!$C$33+IF(J$2=Assumptions!$H$15,(INDEX('Pro Forma'!$D$26:$M$26,Assumptions!$H$15)+INDEX('Pro Forma'!$D$9:$M$9,Assumptions!$H$15)*(((1+Assumptions!$H$16+$O57)/(1+Assumptions!$H$16))^Assumptions!$H$15-1))/IF((Assumptions!$C$22+$P57)=0,1,Assumptions!$C$22+$P57)*(1-Assumptions!$C$23)-INDEX('Debt Schedule'!$C$8:$L$8,Assumptions!$H$15)-INDEX('Debt Schedule'!$C$19:$L$19,Assumptions!$H$15),0))</f>
        <v>0</v>
      </c>
      <c r="K57" s="0" t="n">
        <f aca="false" t="array" ref="K57:K57">IF(K$2&gt;Assumptions!$H$15,0,(INDEX('Pro Forma'!$D$26:$M$26,K$2)+INDEX('Pro Forma'!$D$9:$M$9,K$2)*(((1+Assumptions!$H$16+$O57)/(1+Assumptions!$H$16))^K$2-1))-IF(Assumptions!$C$37=1,Assumptions!$C$68,IF(Assumptions!$C$37=2,Assumptions!$C$69,IF(K$2&lt;=Assumptions!$C$41,Assumptions!$C$68,Assumptions!$C$69)))-Assumptions!$C$58-IF(Assumptions!$C$28=1,IF(K$2=1,Assumptions!$C$26,0),Assumptions!$C$26/Assumptions!$H$15)-Assumptions!$C$33+IF(K$2=Assumptions!$H$15,(INDEX('Pro Forma'!$D$26:$M$26,Assumptions!$H$15)+INDEX('Pro Forma'!$D$9:$M$9,Assumptions!$H$15)*(((1+Assumptions!$H$16+$O57)/(1+Assumptions!$H$16))^Assumptions!$H$15-1))/IF((Assumptions!$C$22+$P57)=0,1,Assumptions!$C$22+$P57)*(1-Assumptions!$C$23)-INDEX('Debt Schedule'!$C$8:$L$8,Assumptions!$H$15)-INDEX('Debt Schedule'!$C$19:$L$19,Assumptions!$H$15),0))</f>
        <v>0</v>
      </c>
      <c r="L57" s="0" t="n">
        <f aca="false" t="array" ref="L57:L57">IF(L$2&gt;Assumptions!$H$15,0,(INDEX('Pro Forma'!$D$26:$M$26,L$2)+INDEX('Pro Forma'!$D$9:$M$9,L$2)*(((1+Assumptions!$H$16+$O57)/(1+Assumptions!$H$16))^L$2-1))-IF(Assumptions!$C$37=1,Assumptions!$C$68,IF(Assumptions!$C$37=2,Assumptions!$C$69,IF(L$2&lt;=Assumptions!$C$41,Assumptions!$C$68,Assumptions!$C$69)))-Assumptions!$C$58-IF(Assumptions!$C$28=1,IF(L$2=1,Assumptions!$C$26,0),Assumptions!$C$26/Assumptions!$H$15)-Assumptions!$C$33+IF(L$2=Assumptions!$H$15,(INDEX('Pro Forma'!$D$26:$M$26,Assumptions!$H$15)+INDEX('Pro Forma'!$D$9:$M$9,Assumptions!$H$15)*(((1+Assumptions!$H$16+$O57)/(1+Assumptions!$H$16))^Assumptions!$H$15-1))/IF((Assumptions!$C$22+$P57)=0,1,Assumptions!$C$22+$P57)*(1-Assumptions!$C$23)-INDEX('Debt Schedule'!$C$8:$L$8,Assumptions!$H$15)-INDEX('Debt Schedule'!$C$19:$L$19,Assumptions!$H$15),0))</f>
        <v>0</v>
      </c>
      <c r="M57" s="0" t="n">
        <f aca="false" t="array" ref="M57:M57">IF(M$2&gt;Assumptions!$H$15,0,(INDEX('Pro Forma'!$D$26:$M$26,M$2)+INDEX('Pro Forma'!$D$9:$M$9,M$2)*(((1+Assumptions!$H$16+$O57)/(1+Assumptions!$H$16))^M$2-1))-IF(Assumptions!$C$37=1,Assumptions!$C$68,IF(Assumptions!$C$37=2,Assumptions!$C$69,IF(M$2&lt;=Assumptions!$C$41,Assumptions!$C$68,Assumptions!$C$69)))-Assumptions!$C$58-IF(Assumptions!$C$28=1,IF(M$2=1,Assumptions!$C$26,0),Assumptions!$C$26/Assumptions!$H$15)-Assumptions!$C$33+IF(M$2=Assumptions!$H$15,(INDEX('Pro Forma'!$D$26:$M$26,Assumptions!$H$15)+INDEX('Pro Forma'!$D$9:$M$9,Assumptions!$H$15)*(((1+Assumptions!$H$16+$O57)/(1+Assumptions!$H$16))^Assumptions!$H$15-1))/IF((Assumptions!$C$22+$P57)=0,1,Assumptions!$C$22+$P57)*(1-Assumptions!$C$23)-INDEX('Debt Schedule'!$C$8:$L$8,Assumptions!$H$15)-INDEX('Debt Schedule'!$C$19:$L$19,Assumptions!$H$15),0))</f>
        <v>0</v>
      </c>
      <c r="N57" s="0" t="n">
        <f aca="false">IFERROR(IRR(C57:M57),0)</f>
        <v>0</v>
      </c>
      <c r="O57" s="0" t="n">
        <v>-0.015</v>
      </c>
      <c r="P57" s="0" t="n">
        <v>0</v>
      </c>
    </row>
    <row r="58" customFormat="false" ht="15" hidden="false" customHeight="false" outlineLevel="0" collapsed="false">
      <c r="A58" s="0" t="n">
        <f aca="false">IF(-C58=0,0,SUM(D58:M58)/(-C58))</f>
        <v>0</v>
      </c>
      <c r="C58" s="0" t="n">
        <f aca="false">-Assumptions!$C$70</f>
        <v>-0</v>
      </c>
      <c r="D58" s="0" t="n">
        <f aca="false" t="array" ref="D58:D58">IF(D$2&gt;Assumptions!$H$15,0,(INDEX('Pro Forma'!$D$26:$M$26,D$2)+INDEX('Pro Forma'!$D$9:$M$9,D$2)*(((1+Assumptions!$H$16+$O58)/(1+Assumptions!$H$16))^D$2-1))-IF(Assumptions!$C$37=1,Assumptions!$C$68,IF(Assumptions!$C$37=2,Assumptions!$C$69,IF(D$2&lt;=Assumptions!$C$41,Assumptions!$C$68,Assumptions!$C$69)))-Assumptions!$C$58-IF(Assumptions!$C$28=1,IF(D$2=1,Assumptions!$C$26,0),Assumptions!$C$26/Assumptions!$H$15)-Assumptions!$C$33+IF(D$2=Assumptions!$H$15,(INDEX('Pro Forma'!$D$26:$M$26,Assumptions!$H$15)+INDEX('Pro Forma'!$D$9:$M$9,Assumptions!$H$15)*(((1+Assumptions!$H$16+$O58)/(1+Assumptions!$H$16))^Assumptions!$H$15-1))/IF((Assumptions!$C$22+$P58)=0,1,Assumptions!$C$22+$P58)*(1-Assumptions!$C$23)-INDEX('Debt Schedule'!$C$8:$L$8,Assumptions!$H$15)-INDEX('Debt Schedule'!$C$19:$L$19,Assumptions!$H$15),0))</f>
        <v>0</v>
      </c>
      <c r="E58" s="0" t="n">
        <f aca="false" t="array" ref="E58:E58">IF(E$2&gt;Assumptions!$H$15,0,(INDEX('Pro Forma'!$D$26:$M$26,E$2)+INDEX('Pro Forma'!$D$9:$M$9,E$2)*(((1+Assumptions!$H$16+$O58)/(1+Assumptions!$H$16))^E$2-1))-IF(Assumptions!$C$37=1,Assumptions!$C$68,IF(Assumptions!$C$37=2,Assumptions!$C$69,IF(E$2&lt;=Assumptions!$C$41,Assumptions!$C$68,Assumptions!$C$69)))-Assumptions!$C$58-IF(Assumptions!$C$28=1,IF(E$2=1,Assumptions!$C$26,0),Assumptions!$C$26/Assumptions!$H$15)-Assumptions!$C$33+IF(E$2=Assumptions!$H$15,(INDEX('Pro Forma'!$D$26:$M$26,Assumptions!$H$15)+INDEX('Pro Forma'!$D$9:$M$9,Assumptions!$H$15)*(((1+Assumptions!$H$16+$O58)/(1+Assumptions!$H$16))^Assumptions!$H$15-1))/IF((Assumptions!$C$22+$P58)=0,1,Assumptions!$C$22+$P58)*(1-Assumptions!$C$23)-INDEX('Debt Schedule'!$C$8:$L$8,Assumptions!$H$15)-INDEX('Debt Schedule'!$C$19:$L$19,Assumptions!$H$15),0))</f>
        <v>0</v>
      </c>
      <c r="F58" s="0" t="n">
        <f aca="false" t="array" ref="F58:F58">IF(F$2&gt;Assumptions!$H$15,0,(INDEX('Pro Forma'!$D$26:$M$26,F$2)+INDEX('Pro Forma'!$D$9:$M$9,F$2)*(((1+Assumptions!$H$16+$O58)/(1+Assumptions!$H$16))^F$2-1))-IF(Assumptions!$C$37=1,Assumptions!$C$68,IF(Assumptions!$C$37=2,Assumptions!$C$69,IF(F$2&lt;=Assumptions!$C$41,Assumptions!$C$68,Assumptions!$C$69)))-Assumptions!$C$58-IF(Assumptions!$C$28=1,IF(F$2=1,Assumptions!$C$26,0),Assumptions!$C$26/Assumptions!$H$15)-Assumptions!$C$33+IF(F$2=Assumptions!$H$15,(INDEX('Pro Forma'!$D$26:$M$26,Assumptions!$H$15)+INDEX('Pro Forma'!$D$9:$M$9,Assumptions!$H$15)*(((1+Assumptions!$H$16+$O58)/(1+Assumptions!$H$16))^Assumptions!$H$15-1))/IF((Assumptions!$C$22+$P58)=0,1,Assumptions!$C$22+$P58)*(1-Assumptions!$C$23)-INDEX('Debt Schedule'!$C$8:$L$8,Assumptions!$H$15)-INDEX('Debt Schedule'!$C$19:$L$19,Assumptions!$H$15),0))</f>
        <v>0</v>
      </c>
      <c r="G58" s="0" t="n">
        <f aca="false" t="array" ref="G58:G58">IF(G$2&gt;Assumptions!$H$15,0,(INDEX('Pro Forma'!$D$26:$M$26,G$2)+INDEX('Pro Forma'!$D$9:$M$9,G$2)*(((1+Assumptions!$H$16+$O58)/(1+Assumptions!$H$16))^G$2-1))-IF(Assumptions!$C$37=1,Assumptions!$C$68,IF(Assumptions!$C$37=2,Assumptions!$C$69,IF(G$2&lt;=Assumptions!$C$41,Assumptions!$C$68,Assumptions!$C$69)))-Assumptions!$C$58-IF(Assumptions!$C$28=1,IF(G$2=1,Assumptions!$C$26,0),Assumptions!$C$26/Assumptions!$H$15)-Assumptions!$C$33+IF(G$2=Assumptions!$H$15,(INDEX('Pro Forma'!$D$26:$M$26,Assumptions!$H$15)+INDEX('Pro Forma'!$D$9:$M$9,Assumptions!$H$15)*(((1+Assumptions!$H$16+$O58)/(1+Assumptions!$H$16))^Assumptions!$H$15-1))/IF((Assumptions!$C$22+$P58)=0,1,Assumptions!$C$22+$P58)*(1-Assumptions!$C$23)-INDEX('Debt Schedule'!$C$8:$L$8,Assumptions!$H$15)-INDEX('Debt Schedule'!$C$19:$L$19,Assumptions!$H$15),0))</f>
        <v>0</v>
      </c>
      <c r="H58" s="0" t="n">
        <f aca="false" t="array" ref="H58:H58">IF(H$2&gt;Assumptions!$H$15,0,(INDEX('Pro Forma'!$D$26:$M$26,H$2)+INDEX('Pro Forma'!$D$9:$M$9,H$2)*(((1+Assumptions!$H$16+$O58)/(1+Assumptions!$H$16))^H$2-1))-IF(Assumptions!$C$37=1,Assumptions!$C$68,IF(Assumptions!$C$37=2,Assumptions!$C$69,IF(H$2&lt;=Assumptions!$C$41,Assumptions!$C$68,Assumptions!$C$69)))-Assumptions!$C$58-IF(Assumptions!$C$28=1,IF(H$2=1,Assumptions!$C$26,0),Assumptions!$C$26/Assumptions!$H$15)-Assumptions!$C$33+IF(H$2=Assumptions!$H$15,(INDEX('Pro Forma'!$D$26:$M$26,Assumptions!$H$15)+INDEX('Pro Forma'!$D$9:$M$9,Assumptions!$H$15)*(((1+Assumptions!$H$16+$O58)/(1+Assumptions!$H$16))^Assumptions!$H$15-1))/IF((Assumptions!$C$22+$P58)=0,1,Assumptions!$C$22+$P58)*(1-Assumptions!$C$23)-INDEX('Debt Schedule'!$C$8:$L$8,Assumptions!$H$15)-INDEX('Debt Schedule'!$C$19:$L$19,Assumptions!$H$15),0))</f>
        <v>0</v>
      </c>
      <c r="I58" s="0" t="n">
        <f aca="false" t="array" ref="I58:I58">IF(I$2&gt;Assumptions!$H$15,0,(INDEX('Pro Forma'!$D$26:$M$26,I$2)+INDEX('Pro Forma'!$D$9:$M$9,I$2)*(((1+Assumptions!$H$16+$O58)/(1+Assumptions!$H$16))^I$2-1))-IF(Assumptions!$C$37=1,Assumptions!$C$68,IF(Assumptions!$C$37=2,Assumptions!$C$69,IF(I$2&lt;=Assumptions!$C$41,Assumptions!$C$68,Assumptions!$C$69)))-Assumptions!$C$58-IF(Assumptions!$C$28=1,IF(I$2=1,Assumptions!$C$26,0),Assumptions!$C$26/Assumptions!$H$15)-Assumptions!$C$33+IF(I$2=Assumptions!$H$15,(INDEX('Pro Forma'!$D$26:$M$26,Assumptions!$H$15)+INDEX('Pro Forma'!$D$9:$M$9,Assumptions!$H$15)*(((1+Assumptions!$H$16+$O58)/(1+Assumptions!$H$16))^Assumptions!$H$15-1))/IF((Assumptions!$C$22+$P58)=0,1,Assumptions!$C$22+$P58)*(1-Assumptions!$C$23)-INDEX('Debt Schedule'!$C$8:$L$8,Assumptions!$H$15)-INDEX('Debt Schedule'!$C$19:$L$19,Assumptions!$H$15),0))</f>
        <v>0</v>
      </c>
      <c r="J58" s="0" t="n">
        <f aca="false" t="array" ref="J58:J58">IF(J$2&gt;Assumptions!$H$15,0,(INDEX('Pro Forma'!$D$26:$M$26,J$2)+INDEX('Pro Forma'!$D$9:$M$9,J$2)*(((1+Assumptions!$H$16+$O58)/(1+Assumptions!$H$16))^J$2-1))-IF(Assumptions!$C$37=1,Assumptions!$C$68,IF(Assumptions!$C$37=2,Assumptions!$C$69,IF(J$2&lt;=Assumptions!$C$41,Assumptions!$C$68,Assumptions!$C$69)))-Assumptions!$C$58-IF(Assumptions!$C$28=1,IF(J$2=1,Assumptions!$C$26,0),Assumptions!$C$26/Assumptions!$H$15)-Assumptions!$C$33+IF(J$2=Assumptions!$H$15,(INDEX('Pro Forma'!$D$26:$M$26,Assumptions!$H$15)+INDEX('Pro Forma'!$D$9:$M$9,Assumptions!$H$15)*(((1+Assumptions!$H$16+$O58)/(1+Assumptions!$H$16))^Assumptions!$H$15-1))/IF((Assumptions!$C$22+$P58)=0,1,Assumptions!$C$22+$P58)*(1-Assumptions!$C$23)-INDEX('Debt Schedule'!$C$8:$L$8,Assumptions!$H$15)-INDEX('Debt Schedule'!$C$19:$L$19,Assumptions!$H$15),0))</f>
        <v>0</v>
      </c>
      <c r="K58" s="0" t="n">
        <f aca="false" t="array" ref="K58:K58">IF(K$2&gt;Assumptions!$H$15,0,(INDEX('Pro Forma'!$D$26:$M$26,K$2)+INDEX('Pro Forma'!$D$9:$M$9,K$2)*(((1+Assumptions!$H$16+$O58)/(1+Assumptions!$H$16))^K$2-1))-IF(Assumptions!$C$37=1,Assumptions!$C$68,IF(Assumptions!$C$37=2,Assumptions!$C$69,IF(K$2&lt;=Assumptions!$C$41,Assumptions!$C$68,Assumptions!$C$69)))-Assumptions!$C$58-IF(Assumptions!$C$28=1,IF(K$2=1,Assumptions!$C$26,0),Assumptions!$C$26/Assumptions!$H$15)-Assumptions!$C$33+IF(K$2=Assumptions!$H$15,(INDEX('Pro Forma'!$D$26:$M$26,Assumptions!$H$15)+INDEX('Pro Forma'!$D$9:$M$9,Assumptions!$H$15)*(((1+Assumptions!$H$16+$O58)/(1+Assumptions!$H$16))^Assumptions!$H$15-1))/IF((Assumptions!$C$22+$P58)=0,1,Assumptions!$C$22+$P58)*(1-Assumptions!$C$23)-INDEX('Debt Schedule'!$C$8:$L$8,Assumptions!$H$15)-INDEX('Debt Schedule'!$C$19:$L$19,Assumptions!$H$15),0))</f>
        <v>0</v>
      </c>
      <c r="L58" s="0" t="n">
        <f aca="false" t="array" ref="L58:L58">IF(L$2&gt;Assumptions!$H$15,0,(INDEX('Pro Forma'!$D$26:$M$26,L$2)+INDEX('Pro Forma'!$D$9:$M$9,L$2)*(((1+Assumptions!$H$16+$O58)/(1+Assumptions!$H$16))^L$2-1))-IF(Assumptions!$C$37=1,Assumptions!$C$68,IF(Assumptions!$C$37=2,Assumptions!$C$69,IF(L$2&lt;=Assumptions!$C$41,Assumptions!$C$68,Assumptions!$C$69)))-Assumptions!$C$58-IF(Assumptions!$C$28=1,IF(L$2=1,Assumptions!$C$26,0),Assumptions!$C$26/Assumptions!$H$15)-Assumptions!$C$33+IF(L$2=Assumptions!$H$15,(INDEX('Pro Forma'!$D$26:$M$26,Assumptions!$H$15)+INDEX('Pro Forma'!$D$9:$M$9,Assumptions!$H$15)*(((1+Assumptions!$H$16+$O58)/(1+Assumptions!$H$16))^Assumptions!$H$15-1))/IF((Assumptions!$C$22+$P58)=0,1,Assumptions!$C$22+$P58)*(1-Assumptions!$C$23)-INDEX('Debt Schedule'!$C$8:$L$8,Assumptions!$H$15)-INDEX('Debt Schedule'!$C$19:$L$19,Assumptions!$H$15),0))</f>
        <v>0</v>
      </c>
      <c r="M58" s="0" t="n">
        <f aca="false" t="array" ref="M58:M58">IF(M$2&gt;Assumptions!$H$15,0,(INDEX('Pro Forma'!$D$26:$M$26,M$2)+INDEX('Pro Forma'!$D$9:$M$9,M$2)*(((1+Assumptions!$H$16+$O58)/(1+Assumptions!$H$16))^M$2-1))-IF(Assumptions!$C$37=1,Assumptions!$C$68,IF(Assumptions!$C$37=2,Assumptions!$C$69,IF(M$2&lt;=Assumptions!$C$41,Assumptions!$C$68,Assumptions!$C$69)))-Assumptions!$C$58-IF(Assumptions!$C$28=1,IF(M$2=1,Assumptions!$C$26,0),Assumptions!$C$26/Assumptions!$H$15)-Assumptions!$C$33+IF(M$2=Assumptions!$H$15,(INDEX('Pro Forma'!$D$26:$M$26,Assumptions!$H$15)+INDEX('Pro Forma'!$D$9:$M$9,Assumptions!$H$15)*(((1+Assumptions!$H$16+$O58)/(1+Assumptions!$H$16))^Assumptions!$H$15-1))/IF((Assumptions!$C$22+$P58)=0,1,Assumptions!$C$22+$P58)*(1-Assumptions!$C$23)-INDEX('Debt Schedule'!$C$8:$L$8,Assumptions!$H$15)-INDEX('Debt Schedule'!$C$19:$L$19,Assumptions!$H$15),0))</f>
        <v>0</v>
      </c>
      <c r="N58" s="0" t="n">
        <f aca="false">IFERROR(IRR(C58:M58),0)</f>
        <v>0</v>
      </c>
      <c r="O58" s="0" t="n">
        <v>-0.015</v>
      </c>
      <c r="P58" s="0" t="n">
        <v>0.0025</v>
      </c>
    </row>
    <row r="59" customFormat="false" ht="15" hidden="false" customHeight="false" outlineLevel="0" collapsed="false">
      <c r="A59" s="0" t="n">
        <f aca="false">IF(-C59=0,0,SUM(D59:M59)/(-C59))</f>
        <v>0</v>
      </c>
      <c r="C59" s="0" t="n">
        <f aca="false">-Assumptions!$C$70</f>
        <v>-0</v>
      </c>
      <c r="D59" s="0" t="n">
        <f aca="false" t="array" ref="D59:D59">IF(D$2&gt;Assumptions!$H$15,0,(INDEX('Pro Forma'!$D$26:$M$26,D$2)+INDEX('Pro Forma'!$D$9:$M$9,D$2)*(((1+Assumptions!$H$16+$O59)/(1+Assumptions!$H$16))^D$2-1))-IF(Assumptions!$C$37=1,Assumptions!$C$68,IF(Assumptions!$C$37=2,Assumptions!$C$69,IF(D$2&lt;=Assumptions!$C$41,Assumptions!$C$68,Assumptions!$C$69)))-Assumptions!$C$58-IF(Assumptions!$C$28=1,IF(D$2=1,Assumptions!$C$26,0),Assumptions!$C$26/Assumptions!$H$15)-Assumptions!$C$33+IF(D$2=Assumptions!$H$15,(INDEX('Pro Forma'!$D$26:$M$26,Assumptions!$H$15)+INDEX('Pro Forma'!$D$9:$M$9,Assumptions!$H$15)*(((1+Assumptions!$H$16+$O59)/(1+Assumptions!$H$16))^Assumptions!$H$15-1))/IF((Assumptions!$C$22+$P59)=0,1,Assumptions!$C$22+$P59)*(1-Assumptions!$C$23)-INDEX('Debt Schedule'!$C$8:$L$8,Assumptions!$H$15)-INDEX('Debt Schedule'!$C$19:$L$19,Assumptions!$H$15),0))</f>
        <v>0</v>
      </c>
      <c r="E59" s="0" t="n">
        <f aca="false" t="array" ref="E59:E59">IF(E$2&gt;Assumptions!$H$15,0,(INDEX('Pro Forma'!$D$26:$M$26,E$2)+INDEX('Pro Forma'!$D$9:$M$9,E$2)*(((1+Assumptions!$H$16+$O59)/(1+Assumptions!$H$16))^E$2-1))-IF(Assumptions!$C$37=1,Assumptions!$C$68,IF(Assumptions!$C$37=2,Assumptions!$C$69,IF(E$2&lt;=Assumptions!$C$41,Assumptions!$C$68,Assumptions!$C$69)))-Assumptions!$C$58-IF(Assumptions!$C$28=1,IF(E$2=1,Assumptions!$C$26,0),Assumptions!$C$26/Assumptions!$H$15)-Assumptions!$C$33+IF(E$2=Assumptions!$H$15,(INDEX('Pro Forma'!$D$26:$M$26,Assumptions!$H$15)+INDEX('Pro Forma'!$D$9:$M$9,Assumptions!$H$15)*(((1+Assumptions!$H$16+$O59)/(1+Assumptions!$H$16))^Assumptions!$H$15-1))/IF((Assumptions!$C$22+$P59)=0,1,Assumptions!$C$22+$P59)*(1-Assumptions!$C$23)-INDEX('Debt Schedule'!$C$8:$L$8,Assumptions!$H$15)-INDEX('Debt Schedule'!$C$19:$L$19,Assumptions!$H$15),0))</f>
        <v>0</v>
      </c>
      <c r="F59" s="0" t="n">
        <f aca="false" t="array" ref="F59:F59">IF(F$2&gt;Assumptions!$H$15,0,(INDEX('Pro Forma'!$D$26:$M$26,F$2)+INDEX('Pro Forma'!$D$9:$M$9,F$2)*(((1+Assumptions!$H$16+$O59)/(1+Assumptions!$H$16))^F$2-1))-IF(Assumptions!$C$37=1,Assumptions!$C$68,IF(Assumptions!$C$37=2,Assumptions!$C$69,IF(F$2&lt;=Assumptions!$C$41,Assumptions!$C$68,Assumptions!$C$69)))-Assumptions!$C$58-IF(Assumptions!$C$28=1,IF(F$2=1,Assumptions!$C$26,0),Assumptions!$C$26/Assumptions!$H$15)-Assumptions!$C$33+IF(F$2=Assumptions!$H$15,(INDEX('Pro Forma'!$D$26:$M$26,Assumptions!$H$15)+INDEX('Pro Forma'!$D$9:$M$9,Assumptions!$H$15)*(((1+Assumptions!$H$16+$O59)/(1+Assumptions!$H$16))^Assumptions!$H$15-1))/IF((Assumptions!$C$22+$P59)=0,1,Assumptions!$C$22+$P59)*(1-Assumptions!$C$23)-INDEX('Debt Schedule'!$C$8:$L$8,Assumptions!$H$15)-INDEX('Debt Schedule'!$C$19:$L$19,Assumptions!$H$15),0))</f>
        <v>0</v>
      </c>
      <c r="G59" s="0" t="n">
        <f aca="false" t="array" ref="G59:G59">IF(G$2&gt;Assumptions!$H$15,0,(INDEX('Pro Forma'!$D$26:$M$26,G$2)+INDEX('Pro Forma'!$D$9:$M$9,G$2)*(((1+Assumptions!$H$16+$O59)/(1+Assumptions!$H$16))^G$2-1))-IF(Assumptions!$C$37=1,Assumptions!$C$68,IF(Assumptions!$C$37=2,Assumptions!$C$69,IF(G$2&lt;=Assumptions!$C$41,Assumptions!$C$68,Assumptions!$C$69)))-Assumptions!$C$58-IF(Assumptions!$C$28=1,IF(G$2=1,Assumptions!$C$26,0),Assumptions!$C$26/Assumptions!$H$15)-Assumptions!$C$33+IF(G$2=Assumptions!$H$15,(INDEX('Pro Forma'!$D$26:$M$26,Assumptions!$H$15)+INDEX('Pro Forma'!$D$9:$M$9,Assumptions!$H$15)*(((1+Assumptions!$H$16+$O59)/(1+Assumptions!$H$16))^Assumptions!$H$15-1))/IF((Assumptions!$C$22+$P59)=0,1,Assumptions!$C$22+$P59)*(1-Assumptions!$C$23)-INDEX('Debt Schedule'!$C$8:$L$8,Assumptions!$H$15)-INDEX('Debt Schedule'!$C$19:$L$19,Assumptions!$H$15),0))</f>
        <v>0</v>
      </c>
      <c r="H59" s="0" t="n">
        <f aca="false" t="array" ref="H59:H59">IF(H$2&gt;Assumptions!$H$15,0,(INDEX('Pro Forma'!$D$26:$M$26,H$2)+INDEX('Pro Forma'!$D$9:$M$9,H$2)*(((1+Assumptions!$H$16+$O59)/(1+Assumptions!$H$16))^H$2-1))-IF(Assumptions!$C$37=1,Assumptions!$C$68,IF(Assumptions!$C$37=2,Assumptions!$C$69,IF(H$2&lt;=Assumptions!$C$41,Assumptions!$C$68,Assumptions!$C$69)))-Assumptions!$C$58-IF(Assumptions!$C$28=1,IF(H$2=1,Assumptions!$C$26,0),Assumptions!$C$26/Assumptions!$H$15)-Assumptions!$C$33+IF(H$2=Assumptions!$H$15,(INDEX('Pro Forma'!$D$26:$M$26,Assumptions!$H$15)+INDEX('Pro Forma'!$D$9:$M$9,Assumptions!$H$15)*(((1+Assumptions!$H$16+$O59)/(1+Assumptions!$H$16))^Assumptions!$H$15-1))/IF((Assumptions!$C$22+$P59)=0,1,Assumptions!$C$22+$P59)*(1-Assumptions!$C$23)-INDEX('Debt Schedule'!$C$8:$L$8,Assumptions!$H$15)-INDEX('Debt Schedule'!$C$19:$L$19,Assumptions!$H$15),0))</f>
        <v>0</v>
      </c>
      <c r="I59" s="0" t="n">
        <f aca="false" t="array" ref="I59:I59">IF(I$2&gt;Assumptions!$H$15,0,(INDEX('Pro Forma'!$D$26:$M$26,I$2)+INDEX('Pro Forma'!$D$9:$M$9,I$2)*(((1+Assumptions!$H$16+$O59)/(1+Assumptions!$H$16))^I$2-1))-IF(Assumptions!$C$37=1,Assumptions!$C$68,IF(Assumptions!$C$37=2,Assumptions!$C$69,IF(I$2&lt;=Assumptions!$C$41,Assumptions!$C$68,Assumptions!$C$69)))-Assumptions!$C$58-IF(Assumptions!$C$28=1,IF(I$2=1,Assumptions!$C$26,0),Assumptions!$C$26/Assumptions!$H$15)-Assumptions!$C$33+IF(I$2=Assumptions!$H$15,(INDEX('Pro Forma'!$D$26:$M$26,Assumptions!$H$15)+INDEX('Pro Forma'!$D$9:$M$9,Assumptions!$H$15)*(((1+Assumptions!$H$16+$O59)/(1+Assumptions!$H$16))^Assumptions!$H$15-1))/IF((Assumptions!$C$22+$P59)=0,1,Assumptions!$C$22+$P59)*(1-Assumptions!$C$23)-INDEX('Debt Schedule'!$C$8:$L$8,Assumptions!$H$15)-INDEX('Debt Schedule'!$C$19:$L$19,Assumptions!$H$15),0))</f>
        <v>0</v>
      </c>
      <c r="J59" s="0" t="n">
        <f aca="false" t="array" ref="J59:J59">IF(J$2&gt;Assumptions!$H$15,0,(INDEX('Pro Forma'!$D$26:$M$26,J$2)+INDEX('Pro Forma'!$D$9:$M$9,J$2)*(((1+Assumptions!$H$16+$O59)/(1+Assumptions!$H$16))^J$2-1))-IF(Assumptions!$C$37=1,Assumptions!$C$68,IF(Assumptions!$C$37=2,Assumptions!$C$69,IF(J$2&lt;=Assumptions!$C$41,Assumptions!$C$68,Assumptions!$C$69)))-Assumptions!$C$58-IF(Assumptions!$C$28=1,IF(J$2=1,Assumptions!$C$26,0),Assumptions!$C$26/Assumptions!$H$15)-Assumptions!$C$33+IF(J$2=Assumptions!$H$15,(INDEX('Pro Forma'!$D$26:$M$26,Assumptions!$H$15)+INDEX('Pro Forma'!$D$9:$M$9,Assumptions!$H$15)*(((1+Assumptions!$H$16+$O59)/(1+Assumptions!$H$16))^Assumptions!$H$15-1))/IF((Assumptions!$C$22+$P59)=0,1,Assumptions!$C$22+$P59)*(1-Assumptions!$C$23)-INDEX('Debt Schedule'!$C$8:$L$8,Assumptions!$H$15)-INDEX('Debt Schedule'!$C$19:$L$19,Assumptions!$H$15),0))</f>
        <v>0</v>
      </c>
      <c r="K59" s="0" t="n">
        <f aca="false" t="array" ref="K59:K59">IF(K$2&gt;Assumptions!$H$15,0,(INDEX('Pro Forma'!$D$26:$M$26,K$2)+INDEX('Pro Forma'!$D$9:$M$9,K$2)*(((1+Assumptions!$H$16+$O59)/(1+Assumptions!$H$16))^K$2-1))-IF(Assumptions!$C$37=1,Assumptions!$C$68,IF(Assumptions!$C$37=2,Assumptions!$C$69,IF(K$2&lt;=Assumptions!$C$41,Assumptions!$C$68,Assumptions!$C$69)))-Assumptions!$C$58-IF(Assumptions!$C$28=1,IF(K$2=1,Assumptions!$C$26,0),Assumptions!$C$26/Assumptions!$H$15)-Assumptions!$C$33+IF(K$2=Assumptions!$H$15,(INDEX('Pro Forma'!$D$26:$M$26,Assumptions!$H$15)+INDEX('Pro Forma'!$D$9:$M$9,Assumptions!$H$15)*(((1+Assumptions!$H$16+$O59)/(1+Assumptions!$H$16))^Assumptions!$H$15-1))/IF((Assumptions!$C$22+$P59)=0,1,Assumptions!$C$22+$P59)*(1-Assumptions!$C$23)-INDEX('Debt Schedule'!$C$8:$L$8,Assumptions!$H$15)-INDEX('Debt Schedule'!$C$19:$L$19,Assumptions!$H$15),0))</f>
        <v>0</v>
      </c>
      <c r="L59" s="0" t="n">
        <f aca="false" t="array" ref="L59:L59">IF(L$2&gt;Assumptions!$H$15,0,(INDEX('Pro Forma'!$D$26:$M$26,L$2)+INDEX('Pro Forma'!$D$9:$M$9,L$2)*(((1+Assumptions!$H$16+$O59)/(1+Assumptions!$H$16))^L$2-1))-IF(Assumptions!$C$37=1,Assumptions!$C$68,IF(Assumptions!$C$37=2,Assumptions!$C$69,IF(L$2&lt;=Assumptions!$C$41,Assumptions!$C$68,Assumptions!$C$69)))-Assumptions!$C$58-IF(Assumptions!$C$28=1,IF(L$2=1,Assumptions!$C$26,0),Assumptions!$C$26/Assumptions!$H$15)-Assumptions!$C$33+IF(L$2=Assumptions!$H$15,(INDEX('Pro Forma'!$D$26:$M$26,Assumptions!$H$15)+INDEX('Pro Forma'!$D$9:$M$9,Assumptions!$H$15)*(((1+Assumptions!$H$16+$O59)/(1+Assumptions!$H$16))^Assumptions!$H$15-1))/IF((Assumptions!$C$22+$P59)=0,1,Assumptions!$C$22+$P59)*(1-Assumptions!$C$23)-INDEX('Debt Schedule'!$C$8:$L$8,Assumptions!$H$15)-INDEX('Debt Schedule'!$C$19:$L$19,Assumptions!$H$15),0))</f>
        <v>0</v>
      </c>
      <c r="M59" s="0" t="n">
        <f aca="false" t="array" ref="M59:M59">IF(M$2&gt;Assumptions!$H$15,0,(INDEX('Pro Forma'!$D$26:$M$26,M$2)+INDEX('Pro Forma'!$D$9:$M$9,M$2)*(((1+Assumptions!$H$16+$O59)/(1+Assumptions!$H$16))^M$2-1))-IF(Assumptions!$C$37=1,Assumptions!$C$68,IF(Assumptions!$C$37=2,Assumptions!$C$69,IF(M$2&lt;=Assumptions!$C$41,Assumptions!$C$68,Assumptions!$C$69)))-Assumptions!$C$58-IF(Assumptions!$C$28=1,IF(M$2=1,Assumptions!$C$26,0),Assumptions!$C$26/Assumptions!$H$15)-Assumptions!$C$33+IF(M$2=Assumptions!$H$15,(INDEX('Pro Forma'!$D$26:$M$26,Assumptions!$H$15)+INDEX('Pro Forma'!$D$9:$M$9,Assumptions!$H$15)*(((1+Assumptions!$H$16+$O59)/(1+Assumptions!$H$16))^Assumptions!$H$15-1))/IF((Assumptions!$C$22+$P59)=0,1,Assumptions!$C$22+$P59)*(1-Assumptions!$C$23)-INDEX('Debt Schedule'!$C$8:$L$8,Assumptions!$H$15)-INDEX('Debt Schedule'!$C$19:$L$19,Assumptions!$H$15),0))</f>
        <v>0</v>
      </c>
      <c r="N59" s="0" t="n">
        <f aca="false">IFERROR(IRR(C59:M59),0)</f>
        <v>0</v>
      </c>
      <c r="O59" s="0" t="n">
        <v>-0.015</v>
      </c>
      <c r="P59" s="0" t="n">
        <v>0.005</v>
      </c>
    </row>
    <row r="60" customFormat="false" ht="15" hidden="false" customHeight="true" outlineLevel="0" collapsed="false">
      <c r="C60" s="98" t="n">
        <f aca="false">-(((Assumptions!$C$15*(1-0.1))*(1+Assumptions!$C$18))-((Assumptions!$C$15*(1-0.1))*(Assumptions!$C$38-0.1)))</f>
        <v>-0</v>
      </c>
      <c r="D60" s="98" t="n">
        <f aca="false">IF(1&gt;Assumptions!$H$15,0,IF('Pro Forma'!D$26="",0,'Pro Forma'!D$26-(IF(Assumptions!$C$37=1,(((Assumptions!$C$15*(1-0.1))*(Assumptions!$C$38-0.1))*Assumptions!$C$40),IF(Assumptions!$C$37=2,(-PMT(Assumptions!$C$40/12,Assumptions!$C$42*12,((Assumptions!$C$15*(1-0.1))*(Assumptions!$C$38-0.1)))*12),IF(1&lt;=Assumptions!$C$41,(((Assumptions!$C$15*(1-0.1))*(Assumptions!$C$38-0.1))*Assumptions!$C$40),(-PMT(Assumptions!$C$40/12,Assumptions!$C$42*12,((Assumptions!$C$15*(1-0.1))*(Assumptions!$C$38-0.1)))*12)))))-Assumptions!$C$58-IF(Assumptions!$C$28=1,IF(1=1,Assumptions!$C$26,0),Assumptions!$C$26/Assumptions!$H$15)-Assumptions!$C$33)+IF(1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$38-0.1)),IF(Assumptions!$C$37=2,(-FV(Assumptions!$C$40/12,Assumptions!$H$15*12,PMT(Assumptions!$C$40/12,Assumptions!$C$42*12,((Assumptions!$C$15*(1-0.1))*(Assumptions!$C$38-0.1))),((Assumptions!$C$15*(1-0.1))*(Assumptions!$C$38-0.1)))),(-FV(Assumptions!$C$40/12,MAX(0,Assumptions!$H$15-Assumptions!$C$41)*12,PMT(Assumptions!$C$40/12,Assumptions!$C$42*12,((Assumptions!$C$15*(1-0.1))*(Assumptions!$C$38-0.1))),((Assumptions!$C$15*(1-0.1)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E60" s="98" t="n">
        <f aca="false">IF(2&gt;Assumptions!$H$15,0,IF('Pro Forma'!E$26="",0,'Pro Forma'!E$26-(IF(Assumptions!$C$37=1,(((Assumptions!$C$15*(1-0.1))*(Assumptions!$C$38-0.1))*Assumptions!$C$40),IF(Assumptions!$C$37=2,(-PMT(Assumptions!$C$40/12,Assumptions!$C$42*12,((Assumptions!$C$15*(1-0.1))*(Assumptions!$C$38-0.1)))*12),IF(2&lt;=Assumptions!$C$41,(((Assumptions!$C$15*(1-0.1))*(Assumptions!$C$38-0.1))*Assumptions!$C$40),(-PMT(Assumptions!$C$40/12,Assumptions!$C$42*12,((Assumptions!$C$15*(1-0.1))*(Assumptions!$C$38-0.1)))*12)))))-Assumptions!$C$58-IF(Assumptions!$C$28=1,IF(2=1,Assumptions!$C$26,0),Assumptions!$C$26/Assumptions!$H$15)-Assumptions!$C$33)+IF(2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$38-0.1)),IF(Assumptions!$C$37=2,(-FV(Assumptions!$C$40/12,Assumptions!$H$15*12,PMT(Assumptions!$C$40/12,Assumptions!$C$42*12,((Assumptions!$C$15*(1-0.1))*(Assumptions!$C$38-0.1))),((Assumptions!$C$15*(1-0.1))*(Assumptions!$C$38-0.1)))),(-FV(Assumptions!$C$40/12,MAX(0,Assumptions!$H$15-Assumptions!$C$41)*12,PMT(Assumptions!$C$40/12,Assumptions!$C$42*12,((Assumptions!$C$15*(1-0.1))*(Assumptions!$C$38-0.1))),((Assumptions!$C$15*(1-0.1)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F60" s="98" t="n">
        <f aca="false">IF(3&gt;Assumptions!$H$15,0,IF('Pro Forma'!F$26="",0,'Pro Forma'!F$26-(IF(Assumptions!$C$37=1,(((Assumptions!$C$15*(1-0.1))*(Assumptions!$C$38-0.1))*Assumptions!$C$40),IF(Assumptions!$C$37=2,(-PMT(Assumptions!$C$40/12,Assumptions!$C$42*12,((Assumptions!$C$15*(1-0.1))*(Assumptions!$C$38-0.1)))*12),IF(3&lt;=Assumptions!$C$41,(((Assumptions!$C$15*(1-0.1))*(Assumptions!$C$38-0.1))*Assumptions!$C$40),(-PMT(Assumptions!$C$40/12,Assumptions!$C$42*12,((Assumptions!$C$15*(1-0.1))*(Assumptions!$C$38-0.1)))*12)))))-Assumptions!$C$58-IF(Assumptions!$C$28=1,IF(3=1,Assumptions!$C$26,0),Assumptions!$C$26/Assumptions!$H$15)-Assumptions!$C$33)+IF(3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$38-0.1)),IF(Assumptions!$C$37=2,(-FV(Assumptions!$C$40/12,Assumptions!$H$15*12,PMT(Assumptions!$C$40/12,Assumptions!$C$42*12,((Assumptions!$C$15*(1-0.1))*(Assumptions!$C$38-0.1))),((Assumptions!$C$15*(1-0.1))*(Assumptions!$C$38-0.1)))),(-FV(Assumptions!$C$40/12,MAX(0,Assumptions!$H$15-Assumptions!$C$41)*12,PMT(Assumptions!$C$40/12,Assumptions!$C$42*12,((Assumptions!$C$15*(1-0.1))*(Assumptions!$C$38-0.1))),((Assumptions!$C$15*(1-0.1)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G60" s="98" t="n">
        <f aca="false">IF(4&gt;Assumptions!$H$15,0,IF('Pro Forma'!G$26="",0,'Pro Forma'!G$26-(IF(Assumptions!$C$37=1,(((Assumptions!$C$15*(1-0.1))*(Assumptions!$C$38-0.1))*Assumptions!$C$40),IF(Assumptions!$C$37=2,(-PMT(Assumptions!$C$40/12,Assumptions!$C$42*12,((Assumptions!$C$15*(1-0.1))*(Assumptions!$C$38-0.1)))*12),IF(4&lt;=Assumptions!$C$41,(((Assumptions!$C$15*(1-0.1))*(Assumptions!$C$38-0.1))*Assumptions!$C$40),(-PMT(Assumptions!$C$40/12,Assumptions!$C$42*12,((Assumptions!$C$15*(1-0.1))*(Assumptions!$C$38-0.1)))*12)))))-Assumptions!$C$58-IF(Assumptions!$C$28=1,IF(4=1,Assumptions!$C$26,0),Assumptions!$C$26/Assumptions!$H$15)-Assumptions!$C$33)+IF(4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$38-0.1)),IF(Assumptions!$C$37=2,(-FV(Assumptions!$C$40/12,Assumptions!$H$15*12,PMT(Assumptions!$C$40/12,Assumptions!$C$42*12,((Assumptions!$C$15*(1-0.1))*(Assumptions!$C$38-0.1))),((Assumptions!$C$15*(1-0.1))*(Assumptions!$C$38-0.1)))),(-FV(Assumptions!$C$40/12,MAX(0,Assumptions!$H$15-Assumptions!$C$41)*12,PMT(Assumptions!$C$40/12,Assumptions!$C$42*12,((Assumptions!$C$15*(1-0.1))*(Assumptions!$C$38-0.1))),((Assumptions!$C$15*(1-0.1)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H60" s="98" t="n">
        <f aca="false">IF(5&gt;Assumptions!$H$15,0,IF('Pro Forma'!H$26="",0,'Pro Forma'!H$26-(IF(Assumptions!$C$37=1,(((Assumptions!$C$15*(1-0.1))*(Assumptions!$C$38-0.1))*Assumptions!$C$40),IF(Assumptions!$C$37=2,(-PMT(Assumptions!$C$40/12,Assumptions!$C$42*12,((Assumptions!$C$15*(1-0.1))*(Assumptions!$C$38-0.1)))*12),IF(5&lt;=Assumptions!$C$41,(((Assumptions!$C$15*(1-0.1))*(Assumptions!$C$38-0.1))*Assumptions!$C$40),(-PMT(Assumptions!$C$40/12,Assumptions!$C$42*12,((Assumptions!$C$15*(1-0.1))*(Assumptions!$C$38-0.1)))*12)))))-Assumptions!$C$58-IF(Assumptions!$C$28=1,IF(5=1,Assumptions!$C$26,0),Assumptions!$C$26/Assumptions!$H$15)-Assumptions!$C$33)+IF(5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$38-0.1)),IF(Assumptions!$C$37=2,(-FV(Assumptions!$C$40/12,Assumptions!$H$15*12,PMT(Assumptions!$C$40/12,Assumptions!$C$42*12,((Assumptions!$C$15*(1-0.1))*(Assumptions!$C$38-0.1))),((Assumptions!$C$15*(1-0.1))*(Assumptions!$C$38-0.1)))),(-FV(Assumptions!$C$40/12,MAX(0,Assumptions!$H$15-Assumptions!$C$41)*12,PMT(Assumptions!$C$40/12,Assumptions!$C$42*12,((Assumptions!$C$15*(1-0.1))*(Assumptions!$C$38-0.1))),((Assumptions!$C$15*(1-0.1)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I60" s="98" t="n">
        <f aca="false">IF(6&gt;Assumptions!$H$15,0,IF('Pro Forma'!I$26="",0,'Pro Forma'!I$26-(IF(Assumptions!$C$37=1,(((Assumptions!$C$15*(1-0.1))*(Assumptions!$C$38-0.1))*Assumptions!$C$40),IF(Assumptions!$C$37=2,(-PMT(Assumptions!$C$40/12,Assumptions!$C$42*12,((Assumptions!$C$15*(1-0.1))*(Assumptions!$C$38-0.1)))*12),IF(6&lt;=Assumptions!$C$41,(((Assumptions!$C$15*(1-0.1))*(Assumptions!$C$38-0.1))*Assumptions!$C$40),(-PMT(Assumptions!$C$40/12,Assumptions!$C$42*12,((Assumptions!$C$15*(1-0.1))*(Assumptions!$C$38-0.1)))*12)))))-Assumptions!$C$58-IF(Assumptions!$C$28=1,IF(6=1,Assumptions!$C$26,0),Assumptions!$C$26/Assumptions!$H$15)-Assumptions!$C$33)+IF(6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$38-0.1)),IF(Assumptions!$C$37=2,(-FV(Assumptions!$C$40/12,Assumptions!$H$15*12,PMT(Assumptions!$C$40/12,Assumptions!$C$42*12,((Assumptions!$C$15*(1-0.1))*(Assumptions!$C$38-0.1))),((Assumptions!$C$15*(1-0.1))*(Assumptions!$C$38-0.1)))),(-FV(Assumptions!$C$40/12,MAX(0,Assumptions!$H$15-Assumptions!$C$41)*12,PMT(Assumptions!$C$40/12,Assumptions!$C$42*12,((Assumptions!$C$15*(1-0.1))*(Assumptions!$C$38-0.1))),((Assumptions!$C$15*(1-0.1)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J60" s="98" t="n">
        <f aca="false">IF(7&gt;Assumptions!$H$15,0,IF('Pro Forma'!J$26="",0,'Pro Forma'!J$26-(IF(Assumptions!$C$37=1,(((Assumptions!$C$15*(1-0.1))*(Assumptions!$C$38-0.1))*Assumptions!$C$40),IF(Assumptions!$C$37=2,(-PMT(Assumptions!$C$40/12,Assumptions!$C$42*12,((Assumptions!$C$15*(1-0.1))*(Assumptions!$C$38-0.1)))*12),IF(7&lt;=Assumptions!$C$41,(((Assumptions!$C$15*(1-0.1))*(Assumptions!$C$38-0.1))*Assumptions!$C$40),(-PMT(Assumptions!$C$40/12,Assumptions!$C$42*12,((Assumptions!$C$15*(1-0.1))*(Assumptions!$C$38-0.1)))*12)))))-Assumptions!$C$58-IF(Assumptions!$C$28=1,IF(7=1,Assumptions!$C$26,0),Assumptions!$C$26/Assumptions!$H$15)-Assumptions!$C$33)+IF(7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$38-0.1)),IF(Assumptions!$C$37=2,(-FV(Assumptions!$C$40/12,Assumptions!$H$15*12,PMT(Assumptions!$C$40/12,Assumptions!$C$42*12,((Assumptions!$C$15*(1-0.1))*(Assumptions!$C$38-0.1))),((Assumptions!$C$15*(1-0.1))*(Assumptions!$C$38-0.1)))),(-FV(Assumptions!$C$40/12,MAX(0,Assumptions!$H$15-Assumptions!$C$41)*12,PMT(Assumptions!$C$40/12,Assumptions!$C$42*12,((Assumptions!$C$15*(1-0.1))*(Assumptions!$C$38-0.1))),((Assumptions!$C$15*(1-0.1)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K60" s="98" t="n">
        <f aca="false">IF(8&gt;Assumptions!$H$15,0,IF('Pro Forma'!K$26="",0,'Pro Forma'!K$26-(IF(Assumptions!$C$37=1,(((Assumptions!$C$15*(1-0.1))*(Assumptions!$C$38-0.1))*Assumptions!$C$40),IF(Assumptions!$C$37=2,(-PMT(Assumptions!$C$40/12,Assumptions!$C$42*12,((Assumptions!$C$15*(1-0.1))*(Assumptions!$C$38-0.1)))*12),IF(8&lt;=Assumptions!$C$41,(((Assumptions!$C$15*(1-0.1))*(Assumptions!$C$38-0.1))*Assumptions!$C$40),(-PMT(Assumptions!$C$40/12,Assumptions!$C$42*12,((Assumptions!$C$15*(1-0.1))*(Assumptions!$C$38-0.1)))*12)))))-Assumptions!$C$58-IF(Assumptions!$C$28=1,IF(8=1,Assumptions!$C$26,0),Assumptions!$C$26/Assumptions!$H$15)-Assumptions!$C$33)+IF(8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$38-0.1)),IF(Assumptions!$C$37=2,(-FV(Assumptions!$C$40/12,Assumptions!$H$15*12,PMT(Assumptions!$C$40/12,Assumptions!$C$42*12,((Assumptions!$C$15*(1-0.1))*(Assumptions!$C$38-0.1))),((Assumptions!$C$15*(1-0.1))*(Assumptions!$C$38-0.1)))),(-FV(Assumptions!$C$40/12,MAX(0,Assumptions!$H$15-Assumptions!$C$41)*12,PMT(Assumptions!$C$40/12,Assumptions!$C$42*12,((Assumptions!$C$15*(1-0.1))*(Assumptions!$C$38-0.1))),((Assumptions!$C$15*(1-0.1)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L60" s="98" t="n">
        <f aca="false">IF(9&gt;Assumptions!$H$15,0,IF('Pro Forma'!L$26="",0,'Pro Forma'!L$26-(IF(Assumptions!$C$37=1,(((Assumptions!$C$15*(1-0.1))*(Assumptions!$C$38-0.1))*Assumptions!$C$40),IF(Assumptions!$C$37=2,(-PMT(Assumptions!$C$40/12,Assumptions!$C$42*12,((Assumptions!$C$15*(1-0.1))*(Assumptions!$C$38-0.1)))*12),IF(9&lt;=Assumptions!$C$41,(((Assumptions!$C$15*(1-0.1))*(Assumptions!$C$38-0.1))*Assumptions!$C$40),(-PMT(Assumptions!$C$40/12,Assumptions!$C$42*12,((Assumptions!$C$15*(1-0.1))*(Assumptions!$C$38-0.1)))*12)))))-Assumptions!$C$58-IF(Assumptions!$C$28=1,IF(9=1,Assumptions!$C$26,0),Assumptions!$C$26/Assumptions!$H$15)-Assumptions!$C$33)+IF(9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$38-0.1)),IF(Assumptions!$C$37=2,(-FV(Assumptions!$C$40/12,Assumptions!$H$15*12,PMT(Assumptions!$C$40/12,Assumptions!$C$42*12,((Assumptions!$C$15*(1-0.1))*(Assumptions!$C$38-0.1))),((Assumptions!$C$15*(1-0.1))*(Assumptions!$C$38-0.1)))),(-FV(Assumptions!$C$40/12,MAX(0,Assumptions!$H$15-Assumptions!$C$41)*12,PMT(Assumptions!$C$40/12,Assumptions!$C$42*12,((Assumptions!$C$15*(1-0.1))*(Assumptions!$C$38-0.1))),((Assumptions!$C$15*(1-0.1)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M60" s="98" t="n">
        <f aca="false">IF(10&gt;Assumptions!$H$15,0,IF('Pro Forma'!M$26="",0,'Pro Forma'!M$26-(IF(Assumptions!$C$37=1,(((Assumptions!$C$15*(1-0.1))*(Assumptions!$C$38-0.1))*Assumptions!$C$40),IF(Assumptions!$C$37=2,(-PMT(Assumptions!$C$40/12,Assumptions!$C$42*12,((Assumptions!$C$15*(1-0.1))*(Assumptions!$C$38-0.1)))*12),IF(10&lt;=Assumptions!$C$41,(((Assumptions!$C$15*(1-0.1))*(Assumptions!$C$38-0.1))*Assumptions!$C$40),(-PMT(Assumptions!$C$40/12,Assumptions!$C$42*12,((Assumptions!$C$15*(1-0.1))*(Assumptions!$C$38-0.1)))*12)))))-Assumptions!$C$58-IF(Assumptions!$C$28=1,IF(10=1,Assumptions!$C$26,0),Assumptions!$C$26/Assumptions!$H$15)-Assumptions!$C$33)+IF(10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$38-0.1)),IF(Assumptions!$C$37=2,(-FV(Assumptions!$C$40/12,Assumptions!$H$15*12,PMT(Assumptions!$C$40/12,Assumptions!$C$42*12,((Assumptions!$C$15*(1-0.1))*(Assumptions!$C$38-0.1))),((Assumptions!$C$15*(1-0.1))*(Assumptions!$C$38-0.1)))),(-FV(Assumptions!$C$40/12,MAX(0,Assumptions!$H$15-Assumptions!$C$41)*12,PMT(Assumptions!$C$40/12,Assumptions!$C$42*12,((Assumptions!$C$15*(1-0.1))*(Assumptions!$C$38-0.1))),((Assumptions!$C$15*(1-0.1)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N60" s="99" t="n">
        <f aca="false">IFERROR(IRR(C60:M60),0)</f>
        <v>0</v>
      </c>
    </row>
    <row r="61" customFormat="false" ht="15" hidden="false" customHeight="true" outlineLevel="0" collapsed="false">
      <c r="C61" s="98" t="n">
        <f aca="false">-(((Assumptions!$C$15*(1-0.1))*(1+Assumptions!$C$18))-((Assumptions!$C$15*(1-0.1))*(Assumptions!$C$38-0.1)))</f>
        <v>-0</v>
      </c>
      <c r="D61" s="98" t="n">
        <f aca="false">IF(1&gt;Assumptions!$H$15,0,IF('Pro Forma'!D$26="",0,'Pro Forma'!D$26-(IF(Assumptions!$C$37=1,(((Assumptions!$C$15*(1-0.1))*(Assumptions!$C$38-0.05))*Assumptions!$C$40),IF(Assumptions!$C$37=2,(-PMT(Assumptions!$C$40/12,Assumptions!$C$42*12,((Assumptions!$C$15*(1-0.1))*(Assumptions!$C$38-0.05)))*12),IF(1&lt;=Assumptions!$C$41,(((Assumptions!$C$15*(1-0.1))*(Assumptions!$C$38-0.05))*Assumptions!$C$40),(-PMT(Assumptions!$C$40/12,Assumptions!$C$42*12,((Assumptions!$C$15*(1-0.1))*(Assumptions!$C$38-0.05)))*12)))))-Assumptions!$C$58-IF(Assumptions!$C$28=1,IF(1=1,Assumptions!$C$26,0),Assumptions!$C$26/Assumptions!$H$15)-Assumptions!$C$33)+IF(1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$38-0.05)),IF(Assumptions!$C$37=2,(-FV(Assumptions!$C$40/12,Assumptions!$H$15*12,PMT(Assumptions!$C$40/12,Assumptions!$C$42*12,((Assumptions!$C$15*(1-0.1))*(Assumptions!$C$38-0.05))),((Assumptions!$C$15*(1-0.1))*(Assumptions!$C$38-0.05)))),(-FV(Assumptions!$C$40/12,MAX(0,Assumptions!$H$15-Assumptions!$C$41)*12,PMT(Assumptions!$C$40/12,Assumptions!$C$42*12,((Assumptions!$C$15*(1-0.1))*(Assumptions!$C$38-0.05))),((Assumptions!$C$15*(1-0.1)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E61" s="98" t="n">
        <f aca="false">IF(2&gt;Assumptions!$H$15,0,IF('Pro Forma'!E$26="",0,'Pro Forma'!E$26-(IF(Assumptions!$C$37=1,(((Assumptions!$C$15*(1-0.1))*(Assumptions!$C$38-0.05))*Assumptions!$C$40),IF(Assumptions!$C$37=2,(-PMT(Assumptions!$C$40/12,Assumptions!$C$42*12,((Assumptions!$C$15*(1-0.1))*(Assumptions!$C$38-0.05)))*12),IF(2&lt;=Assumptions!$C$41,(((Assumptions!$C$15*(1-0.1))*(Assumptions!$C$38-0.05))*Assumptions!$C$40),(-PMT(Assumptions!$C$40/12,Assumptions!$C$42*12,((Assumptions!$C$15*(1-0.1))*(Assumptions!$C$38-0.05)))*12)))))-Assumptions!$C$58-IF(Assumptions!$C$28=1,IF(2=1,Assumptions!$C$26,0),Assumptions!$C$26/Assumptions!$H$15)-Assumptions!$C$33)+IF(2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$38-0.05)),IF(Assumptions!$C$37=2,(-FV(Assumptions!$C$40/12,Assumptions!$H$15*12,PMT(Assumptions!$C$40/12,Assumptions!$C$42*12,((Assumptions!$C$15*(1-0.1))*(Assumptions!$C$38-0.05))),((Assumptions!$C$15*(1-0.1))*(Assumptions!$C$38-0.05)))),(-FV(Assumptions!$C$40/12,MAX(0,Assumptions!$H$15-Assumptions!$C$41)*12,PMT(Assumptions!$C$40/12,Assumptions!$C$42*12,((Assumptions!$C$15*(1-0.1))*(Assumptions!$C$38-0.05))),((Assumptions!$C$15*(1-0.1)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F61" s="98" t="n">
        <f aca="false">IF(3&gt;Assumptions!$H$15,0,IF('Pro Forma'!F$26="",0,'Pro Forma'!F$26-(IF(Assumptions!$C$37=1,(((Assumptions!$C$15*(1-0.1))*(Assumptions!$C$38-0.05))*Assumptions!$C$40),IF(Assumptions!$C$37=2,(-PMT(Assumptions!$C$40/12,Assumptions!$C$42*12,((Assumptions!$C$15*(1-0.1))*(Assumptions!$C$38-0.05)))*12),IF(3&lt;=Assumptions!$C$41,(((Assumptions!$C$15*(1-0.1))*(Assumptions!$C$38-0.05))*Assumptions!$C$40),(-PMT(Assumptions!$C$40/12,Assumptions!$C$42*12,((Assumptions!$C$15*(1-0.1))*(Assumptions!$C$38-0.05)))*12)))))-Assumptions!$C$58-IF(Assumptions!$C$28=1,IF(3=1,Assumptions!$C$26,0),Assumptions!$C$26/Assumptions!$H$15)-Assumptions!$C$33)+IF(3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$38-0.05)),IF(Assumptions!$C$37=2,(-FV(Assumptions!$C$40/12,Assumptions!$H$15*12,PMT(Assumptions!$C$40/12,Assumptions!$C$42*12,((Assumptions!$C$15*(1-0.1))*(Assumptions!$C$38-0.05))),((Assumptions!$C$15*(1-0.1))*(Assumptions!$C$38-0.05)))),(-FV(Assumptions!$C$40/12,MAX(0,Assumptions!$H$15-Assumptions!$C$41)*12,PMT(Assumptions!$C$40/12,Assumptions!$C$42*12,((Assumptions!$C$15*(1-0.1))*(Assumptions!$C$38-0.05))),((Assumptions!$C$15*(1-0.1)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G61" s="98" t="n">
        <f aca="false">IF(4&gt;Assumptions!$H$15,0,IF('Pro Forma'!G$26="",0,'Pro Forma'!G$26-(IF(Assumptions!$C$37=1,(((Assumptions!$C$15*(1-0.1))*(Assumptions!$C$38-0.05))*Assumptions!$C$40),IF(Assumptions!$C$37=2,(-PMT(Assumptions!$C$40/12,Assumptions!$C$42*12,((Assumptions!$C$15*(1-0.1))*(Assumptions!$C$38-0.05)))*12),IF(4&lt;=Assumptions!$C$41,(((Assumptions!$C$15*(1-0.1))*(Assumptions!$C$38-0.05))*Assumptions!$C$40),(-PMT(Assumptions!$C$40/12,Assumptions!$C$42*12,((Assumptions!$C$15*(1-0.1))*(Assumptions!$C$38-0.05)))*12)))))-Assumptions!$C$58-IF(Assumptions!$C$28=1,IF(4=1,Assumptions!$C$26,0),Assumptions!$C$26/Assumptions!$H$15)-Assumptions!$C$33)+IF(4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$38-0.05)),IF(Assumptions!$C$37=2,(-FV(Assumptions!$C$40/12,Assumptions!$H$15*12,PMT(Assumptions!$C$40/12,Assumptions!$C$42*12,((Assumptions!$C$15*(1-0.1))*(Assumptions!$C$38-0.05))),((Assumptions!$C$15*(1-0.1))*(Assumptions!$C$38-0.05)))),(-FV(Assumptions!$C$40/12,MAX(0,Assumptions!$H$15-Assumptions!$C$41)*12,PMT(Assumptions!$C$40/12,Assumptions!$C$42*12,((Assumptions!$C$15*(1-0.1))*(Assumptions!$C$38-0.05))),((Assumptions!$C$15*(1-0.1)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H61" s="98" t="n">
        <f aca="false">IF(5&gt;Assumptions!$H$15,0,IF('Pro Forma'!H$26="",0,'Pro Forma'!H$26-(IF(Assumptions!$C$37=1,(((Assumptions!$C$15*(1-0.1))*(Assumptions!$C$38-0.05))*Assumptions!$C$40),IF(Assumptions!$C$37=2,(-PMT(Assumptions!$C$40/12,Assumptions!$C$42*12,((Assumptions!$C$15*(1-0.1))*(Assumptions!$C$38-0.05)))*12),IF(5&lt;=Assumptions!$C$41,(((Assumptions!$C$15*(1-0.1))*(Assumptions!$C$38-0.05))*Assumptions!$C$40),(-PMT(Assumptions!$C$40/12,Assumptions!$C$42*12,((Assumptions!$C$15*(1-0.1))*(Assumptions!$C$38-0.05)))*12)))))-Assumptions!$C$58-IF(Assumptions!$C$28=1,IF(5=1,Assumptions!$C$26,0),Assumptions!$C$26/Assumptions!$H$15)-Assumptions!$C$33)+IF(5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$38-0.05)),IF(Assumptions!$C$37=2,(-FV(Assumptions!$C$40/12,Assumptions!$H$15*12,PMT(Assumptions!$C$40/12,Assumptions!$C$42*12,((Assumptions!$C$15*(1-0.1))*(Assumptions!$C$38-0.05))),((Assumptions!$C$15*(1-0.1))*(Assumptions!$C$38-0.05)))),(-FV(Assumptions!$C$40/12,MAX(0,Assumptions!$H$15-Assumptions!$C$41)*12,PMT(Assumptions!$C$40/12,Assumptions!$C$42*12,((Assumptions!$C$15*(1-0.1))*(Assumptions!$C$38-0.05))),((Assumptions!$C$15*(1-0.1)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I61" s="98" t="n">
        <f aca="false">IF(6&gt;Assumptions!$H$15,0,IF('Pro Forma'!I$26="",0,'Pro Forma'!I$26-(IF(Assumptions!$C$37=1,(((Assumptions!$C$15*(1-0.1))*(Assumptions!$C$38-0.05))*Assumptions!$C$40),IF(Assumptions!$C$37=2,(-PMT(Assumptions!$C$40/12,Assumptions!$C$42*12,((Assumptions!$C$15*(1-0.1))*(Assumptions!$C$38-0.05)))*12),IF(6&lt;=Assumptions!$C$41,(((Assumptions!$C$15*(1-0.1))*(Assumptions!$C$38-0.05))*Assumptions!$C$40),(-PMT(Assumptions!$C$40/12,Assumptions!$C$42*12,((Assumptions!$C$15*(1-0.1))*(Assumptions!$C$38-0.05)))*12)))))-Assumptions!$C$58-IF(Assumptions!$C$28=1,IF(6=1,Assumptions!$C$26,0),Assumptions!$C$26/Assumptions!$H$15)-Assumptions!$C$33)+IF(6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$38-0.05)),IF(Assumptions!$C$37=2,(-FV(Assumptions!$C$40/12,Assumptions!$H$15*12,PMT(Assumptions!$C$40/12,Assumptions!$C$42*12,((Assumptions!$C$15*(1-0.1))*(Assumptions!$C$38-0.05))),((Assumptions!$C$15*(1-0.1))*(Assumptions!$C$38-0.05)))),(-FV(Assumptions!$C$40/12,MAX(0,Assumptions!$H$15-Assumptions!$C$41)*12,PMT(Assumptions!$C$40/12,Assumptions!$C$42*12,((Assumptions!$C$15*(1-0.1))*(Assumptions!$C$38-0.05))),((Assumptions!$C$15*(1-0.1)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J61" s="98" t="n">
        <f aca="false">IF(7&gt;Assumptions!$H$15,0,IF('Pro Forma'!J$26="",0,'Pro Forma'!J$26-(IF(Assumptions!$C$37=1,(((Assumptions!$C$15*(1-0.1))*(Assumptions!$C$38-0.05))*Assumptions!$C$40),IF(Assumptions!$C$37=2,(-PMT(Assumptions!$C$40/12,Assumptions!$C$42*12,((Assumptions!$C$15*(1-0.1))*(Assumptions!$C$38-0.05)))*12),IF(7&lt;=Assumptions!$C$41,(((Assumptions!$C$15*(1-0.1))*(Assumptions!$C$38-0.05))*Assumptions!$C$40),(-PMT(Assumptions!$C$40/12,Assumptions!$C$42*12,((Assumptions!$C$15*(1-0.1))*(Assumptions!$C$38-0.05)))*12)))))-Assumptions!$C$58-IF(Assumptions!$C$28=1,IF(7=1,Assumptions!$C$26,0),Assumptions!$C$26/Assumptions!$H$15)-Assumptions!$C$33)+IF(7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$38-0.05)),IF(Assumptions!$C$37=2,(-FV(Assumptions!$C$40/12,Assumptions!$H$15*12,PMT(Assumptions!$C$40/12,Assumptions!$C$42*12,((Assumptions!$C$15*(1-0.1))*(Assumptions!$C$38-0.05))),((Assumptions!$C$15*(1-0.1))*(Assumptions!$C$38-0.05)))),(-FV(Assumptions!$C$40/12,MAX(0,Assumptions!$H$15-Assumptions!$C$41)*12,PMT(Assumptions!$C$40/12,Assumptions!$C$42*12,((Assumptions!$C$15*(1-0.1))*(Assumptions!$C$38-0.05))),((Assumptions!$C$15*(1-0.1)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K61" s="98" t="n">
        <f aca="false">IF(8&gt;Assumptions!$H$15,0,IF('Pro Forma'!K$26="",0,'Pro Forma'!K$26-(IF(Assumptions!$C$37=1,(((Assumptions!$C$15*(1-0.1))*(Assumptions!$C$38-0.05))*Assumptions!$C$40),IF(Assumptions!$C$37=2,(-PMT(Assumptions!$C$40/12,Assumptions!$C$42*12,((Assumptions!$C$15*(1-0.1))*(Assumptions!$C$38-0.05)))*12),IF(8&lt;=Assumptions!$C$41,(((Assumptions!$C$15*(1-0.1))*(Assumptions!$C$38-0.05))*Assumptions!$C$40),(-PMT(Assumptions!$C$40/12,Assumptions!$C$42*12,((Assumptions!$C$15*(1-0.1))*(Assumptions!$C$38-0.05)))*12)))))-Assumptions!$C$58-IF(Assumptions!$C$28=1,IF(8=1,Assumptions!$C$26,0),Assumptions!$C$26/Assumptions!$H$15)-Assumptions!$C$33)+IF(8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$38-0.05)),IF(Assumptions!$C$37=2,(-FV(Assumptions!$C$40/12,Assumptions!$H$15*12,PMT(Assumptions!$C$40/12,Assumptions!$C$42*12,((Assumptions!$C$15*(1-0.1))*(Assumptions!$C$38-0.05))),((Assumptions!$C$15*(1-0.1))*(Assumptions!$C$38-0.05)))),(-FV(Assumptions!$C$40/12,MAX(0,Assumptions!$H$15-Assumptions!$C$41)*12,PMT(Assumptions!$C$40/12,Assumptions!$C$42*12,((Assumptions!$C$15*(1-0.1))*(Assumptions!$C$38-0.05))),((Assumptions!$C$15*(1-0.1)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L61" s="98" t="n">
        <f aca="false">IF(9&gt;Assumptions!$H$15,0,IF('Pro Forma'!L$26="",0,'Pro Forma'!L$26-(IF(Assumptions!$C$37=1,(((Assumptions!$C$15*(1-0.1))*(Assumptions!$C$38-0.05))*Assumptions!$C$40),IF(Assumptions!$C$37=2,(-PMT(Assumptions!$C$40/12,Assumptions!$C$42*12,((Assumptions!$C$15*(1-0.1))*(Assumptions!$C$38-0.05)))*12),IF(9&lt;=Assumptions!$C$41,(((Assumptions!$C$15*(1-0.1))*(Assumptions!$C$38-0.05))*Assumptions!$C$40),(-PMT(Assumptions!$C$40/12,Assumptions!$C$42*12,((Assumptions!$C$15*(1-0.1))*(Assumptions!$C$38-0.05)))*12)))))-Assumptions!$C$58-IF(Assumptions!$C$28=1,IF(9=1,Assumptions!$C$26,0),Assumptions!$C$26/Assumptions!$H$15)-Assumptions!$C$33)+IF(9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$38-0.05)),IF(Assumptions!$C$37=2,(-FV(Assumptions!$C$40/12,Assumptions!$H$15*12,PMT(Assumptions!$C$40/12,Assumptions!$C$42*12,((Assumptions!$C$15*(1-0.1))*(Assumptions!$C$38-0.05))),((Assumptions!$C$15*(1-0.1))*(Assumptions!$C$38-0.05)))),(-FV(Assumptions!$C$40/12,MAX(0,Assumptions!$H$15-Assumptions!$C$41)*12,PMT(Assumptions!$C$40/12,Assumptions!$C$42*12,((Assumptions!$C$15*(1-0.1))*(Assumptions!$C$38-0.05))),((Assumptions!$C$15*(1-0.1)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M61" s="98" t="n">
        <f aca="false">IF(10&gt;Assumptions!$H$15,0,IF('Pro Forma'!M$26="",0,'Pro Forma'!M$26-(IF(Assumptions!$C$37=1,(((Assumptions!$C$15*(1-0.1))*(Assumptions!$C$38-0.05))*Assumptions!$C$40),IF(Assumptions!$C$37=2,(-PMT(Assumptions!$C$40/12,Assumptions!$C$42*12,((Assumptions!$C$15*(1-0.1))*(Assumptions!$C$38-0.05)))*12),IF(10&lt;=Assumptions!$C$41,(((Assumptions!$C$15*(1-0.1))*(Assumptions!$C$38-0.05))*Assumptions!$C$40),(-PMT(Assumptions!$C$40/12,Assumptions!$C$42*12,((Assumptions!$C$15*(1-0.1))*(Assumptions!$C$38-0.05)))*12)))))-Assumptions!$C$58-IF(Assumptions!$C$28=1,IF(10=1,Assumptions!$C$26,0),Assumptions!$C$26/Assumptions!$H$15)-Assumptions!$C$33)+IF(10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$38-0.05)),IF(Assumptions!$C$37=2,(-FV(Assumptions!$C$40/12,Assumptions!$H$15*12,PMT(Assumptions!$C$40/12,Assumptions!$C$42*12,((Assumptions!$C$15*(1-0.1))*(Assumptions!$C$38-0.05))),((Assumptions!$C$15*(1-0.1))*(Assumptions!$C$38-0.05)))),(-FV(Assumptions!$C$40/12,MAX(0,Assumptions!$H$15-Assumptions!$C$41)*12,PMT(Assumptions!$C$40/12,Assumptions!$C$42*12,((Assumptions!$C$15*(1-0.1))*(Assumptions!$C$38-0.05))),((Assumptions!$C$15*(1-0.1)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N61" s="99" t="n">
        <f aca="false">IFERROR(IRR(C61:M61),0)</f>
        <v>0</v>
      </c>
    </row>
    <row r="62" customFormat="false" ht="15" hidden="false" customHeight="true" outlineLevel="0" collapsed="false">
      <c r="C62" s="98" t="n">
        <f aca="false">-(((Assumptions!$C$15*(1-0.1))*(1+Assumptions!$C$18))-((Assumptions!$C$15*(1-0.1))*(Assumptions!$C$38-0.1)))</f>
        <v>-0</v>
      </c>
      <c r="D62" s="98" t="n">
        <f aca="false">IF(1&gt;Assumptions!$H$15,0,IF('Pro Forma'!D$26="",0,'Pro Forma'!D$26-(IF(Assumptions!$C$37=1,(((Assumptions!$C$15*(1-0.1))*Assumptions!$C$38)*Assumptions!$C$40),IF(Assumptions!$C$37=2,(-PMT(Assumptions!$C$40/12,Assumptions!$C$42*12,((Assumptions!$C$15*(1-0.1))*Assumptions!$C$38))*12),IF(1&lt;=Assumptions!$C$41,(((Assumptions!$C$15*(1-0.1))*Assumptions!$C$38)*Assumptions!$C$40),(-PMT(Assumptions!$C$40/12,Assumptions!$C$42*12,((Assumptions!$C$15*(1-0.1))*Assumptions!$C$38))*12)))))-Assumptions!$C$58-IF(Assumptions!$C$28=1,IF(1=1,Assumptions!$C$26,0),Assumptions!$C$26/Assumptions!$H$15)-Assumptions!$C$33)+IF(1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Assumptions!$C$38),IF(Assumptions!$C$37=2,(-FV(Assumptions!$C$40/12,Assumptions!$H$15*12,PMT(Assumptions!$C$40/12,Assumptions!$C$42*12,((Assumptions!$C$15*(1-0.1))*Assumptions!$C$38)),((Assumptions!$C$15*(1-0.1))*Assumptions!$C$38))),(-FV(Assumptions!$C$40/12,MAX(0,Assumptions!$H$15-Assumptions!$C$41)*12,PMT(Assumptions!$C$40/12,Assumptions!$C$42*12,((Assumptions!$C$15*(1-0.1))*Assumptions!$C$38)),((Assumptions!$C$15*(1-0.1)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E62" s="98" t="n">
        <f aca="false">IF(2&gt;Assumptions!$H$15,0,IF('Pro Forma'!E$26="",0,'Pro Forma'!E$26-(IF(Assumptions!$C$37=1,(((Assumptions!$C$15*(1-0.1))*Assumptions!$C$38)*Assumptions!$C$40),IF(Assumptions!$C$37=2,(-PMT(Assumptions!$C$40/12,Assumptions!$C$42*12,((Assumptions!$C$15*(1-0.1))*Assumptions!$C$38))*12),IF(2&lt;=Assumptions!$C$41,(((Assumptions!$C$15*(1-0.1))*Assumptions!$C$38)*Assumptions!$C$40),(-PMT(Assumptions!$C$40/12,Assumptions!$C$42*12,((Assumptions!$C$15*(1-0.1))*Assumptions!$C$38))*12)))))-Assumptions!$C$58-IF(Assumptions!$C$28=1,IF(2=1,Assumptions!$C$26,0),Assumptions!$C$26/Assumptions!$H$15)-Assumptions!$C$33)+IF(2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Assumptions!$C$38),IF(Assumptions!$C$37=2,(-FV(Assumptions!$C$40/12,Assumptions!$H$15*12,PMT(Assumptions!$C$40/12,Assumptions!$C$42*12,((Assumptions!$C$15*(1-0.1))*Assumptions!$C$38)),((Assumptions!$C$15*(1-0.1))*Assumptions!$C$38))),(-FV(Assumptions!$C$40/12,MAX(0,Assumptions!$H$15-Assumptions!$C$41)*12,PMT(Assumptions!$C$40/12,Assumptions!$C$42*12,((Assumptions!$C$15*(1-0.1))*Assumptions!$C$38)),((Assumptions!$C$15*(1-0.1)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F62" s="98" t="n">
        <f aca="false">IF(3&gt;Assumptions!$H$15,0,IF('Pro Forma'!F$26="",0,'Pro Forma'!F$26-(IF(Assumptions!$C$37=1,(((Assumptions!$C$15*(1-0.1))*Assumptions!$C$38)*Assumptions!$C$40),IF(Assumptions!$C$37=2,(-PMT(Assumptions!$C$40/12,Assumptions!$C$42*12,((Assumptions!$C$15*(1-0.1))*Assumptions!$C$38))*12),IF(3&lt;=Assumptions!$C$41,(((Assumptions!$C$15*(1-0.1))*Assumptions!$C$38)*Assumptions!$C$40),(-PMT(Assumptions!$C$40/12,Assumptions!$C$42*12,((Assumptions!$C$15*(1-0.1))*Assumptions!$C$38))*12)))))-Assumptions!$C$58-IF(Assumptions!$C$28=1,IF(3=1,Assumptions!$C$26,0),Assumptions!$C$26/Assumptions!$H$15)-Assumptions!$C$33)+IF(3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Assumptions!$C$38),IF(Assumptions!$C$37=2,(-FV(Assumptions!$C$40/12,Assumptions!$H$15*12,PMT(Assumptions!$C$40/12,Assumptions!$C$42*12,((Assumptions!$C$15*(1-0.1))*Assumptions!$C$38)),((Assumptions!$C$15*(1-0.1))*Assumptions!$C$38))),(-FV(Assumptions!$C$40/12,MAX(0,Assumptions!$H$15-Assumptions!$C$41)*12,PMT(Assumptions!$C$40/12,Assumptions!$C$42*12,((Assumptions!$C$15*(1-0.1))*Assumptions!$C$38)),((Assumptions!$C$15*(1-0.1)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G62" s="98" t="n">
        <f aca="false">IF(4&gt;Assumptions!$H$15,0,IF('Pro Forma'!G$26="",0,'Pro Forma'!G$26-(IF(Assumptions!$C$37=1,(((Assumptions!$C$15*(1-0.1))*Assumptions!$C$38)*Assumptions!$C$40),IF(Assumptions!$C$37=2,(-PMT(Assumptions!$C$40/12,Assumptions!$C$42*12,((Assumptions!$C$15*(1-0.1))*Assumptions!$C$38))*12),IF(4&lt;=Assumptions!$C$41,(((Assumptions!$C$15*(1-0.1))*Assumptions!$C$38)*Assumptions!$C$40),(-PMT(Assumptions!$C$40/12,Assumptions!$C$42*12,((Assumptions!$C$15*(1-0.1))*Assumptions!$C$38))*12)))))-Assumptions!$C$58-IF(Assumptions!$C$28=1,IF(4=1,Assumptions!$C$26,0),Assumptions!$C$26/Assumptions!$H$15)-Assumptions!$C$33)+IF(4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Assumptions!$C$38),IF(Assumptions!$C$37=2,(-FV(Assumptions!$C$40/12,Assumptions!$H$15*12,PMT(Assumptions!$C$40/12,Assumptions!$C$42*12,((Assumptions!$C$15*(1-0.1))*Assumptions!$C$38)),((Assumptions!$C$15*(1-0.1))*Assumptions!$C$38))),(-FV(Assumptions!$C$40/12,MAX(0,Assumptions!$H$15-Assumptions!$C$41)*12,PMT(Assumptions!$C$40/12,Assumptions!$C$42*12,((Assumptions!$C$15*(1-0.1))*Assumptions!$C$38)),((Assumptions!$C$15*(1-0.1)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H62" s="98" t="n">
        <f aca="false">IF(5&gt;Assumptions!$H$15,0,IF('Pro Forma'!H$26="",0,'Pro Forma'!H$26-(IF(Assumptions!$C$37=1,(((Assumptions!$C$15*(1-0.1))*Assumptions!$C$38)*Assumptions!$C$40),IF(Assumptions!$C$37=2,(-PMT(Assumptions!$C$40/12,Assumptions!$C$42*12,((Assumptions!$C$15*(1-0.1))*Assumptions!$C$38))*12),IF(5&lt;=Assumptions!$C$41,(((Assumptions!$C$15*(1-0.1))*Assumptions!$C$38)*Assumptions!$C$40),(-PMT(Assumptions!$C$40/12,Assumptions!$C$42*12,((Assumptions!$C$15*(1-0.1))*Assumptions!$C$38))*12)))))-Assumptions!$C$58-IF(Assumptions!$C$28=1,IF(5=1,Assumptions!$C$26,0),Assumptions!$C$26/Assumptions!$H$15)-Assumptions!$C$33)+IF(5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Assumptions!$C$38),IF(Assumptions!$C$37=2,(-FV(Assumptions!$C$40/12,Assumptions!$H$15*12,PMT(Assumptions!$C$40/12,Assumptions!$C$42*12,((Assumptions!$C$15*(1-0.1))*Assumptions!$C$38)),((Assumptions!$C$15*(1-0.1))*Assumptions!$C$38))),(-FV(Assumptions!$C$40/12,MAX(0,Assumptions!$H$15-Assumptions!$C$41)*12,PMT(Assumptions!$C$40/12,Assumptions!$C$42*12,((Assumptions!$C$15*(1-0.1))*Assumptions!$C$38)),((Assumptions!$C$15*(1-0.1)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I62" s="98" t="n">
        <f aca="false">IF(6&gt;Assumptions!$H$15,0,IF('Pro Forma'!I$26="",0,'Pro Forma'!I$26-(IF(Assumptions!$C$37=1,(((Assumptions!$C$15*(1-0.1))*Assumptions!$C$38)*Assumptions!$C$40),IF(Assumptions!$C$37=2,(-PMT(Assumptions!$C$40/12,Assumptions!$C$42*12,((Assumptions!$C$15*(1-0.1))*Assumptions!$C$38))*12),IF(6&lt;=Assumptions!$C$41,(((Assumptions!$C$15*(1-0.1))*Assumptions!$C$38)*Assumptions!$C$40),(-PMT(Assumptions!$C$40/12,Assumptions!$C$42*12,((Assumptions!$C$15*(1-0.1))*Assumptions!$C$38))*12)))))-Assumptions!$C$58-IF(Assumptions!$C$28=1,IF(6=1,Assumptions!$C$26,0),Assumptions!$C$26/Assumptions!$H$15)-Assumptions!$C$33)+IF(6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Assumptions!$C$38),IF(Assumptions!$C$37=2,(-FV(Assumptions!$C$40/12,Assumptions!$H$15*12,PMT(Assumptions!$C$40/12,Assumptions!$C$42*12,((Assumptions!$C$15*(1-0.1))*Assumptions!$C$38)),((Assumptions!$C$15*(1-0.1))*Assumptions!$C$38))),(-FV(Assumptions!$C$40/12,MAX(0,Assumptions!$H$15-Assumptions!$C$41)*12,PMT(Assumptions!$C$40/12,Assumptions!$C$42*12,((Assumptions!$C$15*(1-0.1))*Assumptions!$C$38)),((Assumptions!$C$15*(1-0.1)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J62" s="98" t="n">
        <f aca="false">IF(7&gt;Assumptions!$H$15,0,IF('Pro Forma'!J$26="",0,'Pro Forma'!J$26-(IF(Assumptions!$C$37=1,(((Assumptions!$C$15*(1-0.1))*Assumptions!$C$38)*Assumptions!$C$40),IF(Assumptions!$C$37=2,(-PMT(Assumptions!$C$40/12,Assumptions!$C$42*12,((Assumptions!$C$15*(1-0.1))*Assumptions!$C$38))*12),IF(7&lt;=Assumptions!$C$41,(((Assumptions!$C$15*(1-0.1))*Assumptions!$C$38)*Assumptions!$C$40),(-PMT(Assumptions!$C$40/12,Assumptions!$C$42*12,((Assumptions!$C$15*(1-0.1))*Assumptions!$C$38))*12)))))-Assumptions!$C$58-IF(Assumptions!$C$28=1,IF(7=1,Assumptions!$C$26,0),Assumptions!$C$26/Assumptions!$H$15)-Assumptions!$C$33)+IF(7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Assumptions!$C$38),IF(Assumptions!$C$37=2,(-FV(Assumptions!$C$40/12,Assumptions!$H$15*12,PMT(Assumptions!$C$40/12,Assumptions!$C$42*12,((Assumptions!$C$15*(1-0.1))*Assumptions!$C$38)),((Assumptions!$C$15*(1-0.1))*Assumptions!$C$38))),(-FV(Assumptions!$C$40/12,MAX(0,Assumptions!$H$15-Assumptions!$C$41)*12,PMT(Assumptions!$C$40/12,Assumptions!$C$42*12,((Assumptions!$C$15*(1-0.1))*Assumptions!$C$38)),((Assumptions!$C$15*(1-0.1)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K62" s="98" t="n">
        <f aca="false">IF(8&gt;Assumptions!$H$15,0,IF('Pro Forma'!K$26="",0,'Pro Forma'!K$26-(IF(Assumptions!$C$37=1,(((Assumptions!$C$15*(1-0.1))*Assumptions!$C$38)*Assumptions!$C$40),IF(Assumptions!$C$37=2,(-PMT(Assumptions!$C$40/12,Assumptions!$C$42*12,((Assumptions!$C$15*(1-0.1))*Assumptions!$C$38))*12),IF(8&lt;=Assumptions!$C$41,(((Assumptions!$C$15*(1-0.1))*Assumptions!$C$38)*Assumptions!$C$40),(-PMT(Assumptions!$C$40/12,Assumptions!$C$42*12,((Assumptions!$C$15*(1-0.1))*Assumptions!$C$38))*12)))))-Assumptions!$C$58-IF(Assumptions!$C$28=1,IF(8=1,Assumptions!$C$26,0),Assumptions!$C$26/Assumptions!$H$15)-Assumptions!$C$33)+IF(8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Assumptions!$C$38),IF(Assumptions!$C$37=2,(-FV(Assumptions!$C$40/12,Assumptions!$H$15*12,PMT(Assumptions!$C$40/12,Assumptions!$C$42*12,((Assumptions!$C$15*(1-0.1))*Assumptions!$C$38)),((Assumptions!$C$15*(1-0.1))*Assumptions!$C$38))),(-FV(Assumptions!$C$40/12,MAX(0,Assumptions!$H$15-Assumptions!$C$41)*12,PMT(Assumptions!$C$40/12,Assumptions!$C$42*12,((Assumptions!$C$15*(1-0.1))*Assumptions!$C$38)),((Assumptions!$C$15*(1-0.1)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L62" s="98" t="n">
        <f aca="false">IF(9&gt;Assumptions!$H$15,0,IF('Pro Forma'!L$26="",0,'Pro Forma'!L$26-(IF(Assumptions!$C$37=1,(((Assumptions!$C$15*(1-0.1))*Assumptions!$C$38)*Assumptions!$C$40),IF(Assumptions!$C$37=2,(-PMT(Assumptions!$C$40/12,Assumptions!$C$42*12,((Assumptions!$C$15*(1-0.1))*Assumptions!$C$38))*12),IF(9&lt;=Assumptions!$C$41,(((Assumptions!$C$15*(1-0.1))*Assumptions!$C$38)*Assumptions!$C$40),(-PMT(Assumptions!$C$40/12,Assumptions!$C$42*12,((Assumptions!$C$15*(1-0.1))*Assumptions!$C$38))*12)))))-Assumptions!$C$58-IF(Assumptions!$C$28=1,IF(9=1,Assumptions!$C$26,0),Assumptions!$C$26/Assumptions!$H$15)-Assumptions!$C$33)+IF(9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Assumptions!$C$38),IF(Assumptions!$C$37=2,(-FV(Assumptions!$C$40/12,Assumptions!$H$15*12,PMT(Assumptions!$C$40/12,Assumptions!$C$42*12,((Assumptions!$C$15*(1-0.1))*Assumptions!$C$38)),((Assumptions!$C$15*(1-0.1))*Assumptions!$C$38))),(-FV(Assumptions!$C$40/12,MAX(0,Assumptions!$H$15-Assumptions!$C$41)*12,PMT(Assumptions!$C$40/12,Assumptions!$C$42*12,((Assumptions!$C$15*(1-0.1))*Assumptions!$C$38)),((Assumptions!$C$15*(1-0.1)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M62" s="98" t="n">
        <f aca="false">IF(10&gt;Assumptions!$H$15,0,IF('Pro Forma'!M$26="",0,'Pro Forma'!M$26-(IF(Assumptions!$C$37=1,(((Assumptions!$C$15*(1-0.1))*Assumptions!$C$38)*Assumptions!$C$40),IF(Assumptions!$C$37=2,(-PMT(Assumptions!$C$40/12,Assumptions!$C$42*12,((Assumptions!$C$15*(1-0.1))*Assumptions!$C$38))*12),IF(10&lt;=Assumptions!$C$41,(((Assumptions!$C$15*(1-0.1))*Assumptions!$C$38)*Assumptions!$C$40),(-PMT(Assumptions!$C$40/12,Assumptions!$C$42*12,((Assumptions!$C$15*(1-0.1))*Assumptions!$C$38))*12)))))-Assumptions!$C$58-IF(Assumptions!$C$28=1,IF(10=1,Assumptions!$C$26,0),Assumptions!$C$26/Assumptions!$H$15)-Assumptions!$C$33)+IF(10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Assumptions!$C$38),IF(Assumptions!$C$37=2,(-FV(Assumptions!$C$40/12,Assumptions!$H$15*12,PMT(Assumptions!$C$40/12,Assumptions!$C$42*12,((Assumptions!$C$15*(1-0.1))*Assumptions!$C$38)),((Assumptions!$C$15*(1-0.1))*Assumptions!$C$38))),(-FV(Assumptions!$C$40/12,MAX(0,Assumptions!$H$15-Assumptions!$C$41)*12,PMT(Assumptions!$C$40/12,Assumptions!$C$42*12,((Assumptions!$C$15*(1-0.1))*Assumptions!$C$38)),((Assumptions!$C$15*(1-0.1)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N62" s="99" t="n">
        <f aca="false">IFERROR(IRR(C62:M62),0)</f>
        <v>0</v>
      </c>
    </row>
    <row r="63" customFormat="false" ht="15" hidden="false" customHeight="true" outlineLevel="0" collapsed="false">
      <c r="C63" s="98" t="n">
        <f aca="false">-(((Assumptions!$C$15*(1-0.1))*(1+Assumptions!$C$18))-((Assumptions!$C$15*(1-0.1))*(Assumptions!$C$38-0.1)))</f>
        <v>-0</v>
      </c>
      <c r="D63" s="98" t="n">
        <f aca="false">IF(1&gt;Assumptions!$H$15,0,IF('Pro Forma'!D$26="",0,'Pro Forma'!D$26-(IF(Assumptions!$C$37=1,(((Assumptions!$C$15*(1-0.1))*(Assumptions!$C$38+0.05))*Assumptions!$C$40),IF(Assumptions!$C$37=2,(-PMT(Assumptions!$C$40/12,Assumptions!$C$42*12,((Assumptions!$C$15*(1-0.1))*(Assumptions!$C$38+0.05)))*12),IF(1&lt;=Assumptions!$C$41,(((Assumptions!$C$15*(1-0.1))*(Assumptions!$C$38+0.05))*Assumptions!$C$40),(-PMT(Assumptions!$C$40/12,Assumptions!$C$42*12,((Assumptions!$C$15*(1-0.1))*(Assumptions!$C$38+0.05)))*12)))))-Assumptions!$C$58-IF(Assumptions!$C$28=1,IF(1=1,Assumptions!$C$26,0),Assumptions!$C$26/Assumptions!$H$15)-Assumptions!$C$33)+IF(1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+0.05)),IF(Assumptions!$C$37=2,(-FV(Assumptions!$C$40/12,Assumptions!$H$15*12,PMT(Assumptions!$C$40/12,Assumptions!$C$42*12,((Assumptions!$C$15*(1-0.1))*(Assumptions!$C$38+0.05))),((Assumptions!$C$15*(1-0.1))*(Assumptions!$C$38+0.05)))),(-FV(Assumptions!$C$40/12,MAX(0,Assumptions!$H$15-Assumptions!$C$41)*12,PMT(Assumptions!$C$40/12,Assumptions!$C$42*12,((Assumptions!$C$15*(1-0.1))*(Assumptions!$C$38+0.05))),((Assumptions!$C$15*(1-0.1)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E63" s="98" t="n">
        <f aca="false">IF(2&gt;Assumptions!$H$15,0,IF('Pro Forma'!E$26="",0,'Pro Forma'!E$26-(IF(Assumptions!$C$37=1,(((Assumptions!$C$15*(1-0.1))*(Assumptions!$C$38+0.05))*Assumptions!$C$40),IF(Assumptions!$C$37=2,(-PMT(Assumptions!$C$40/12,Assumptions!$C$42*12,((Assumptions!$C$15*(1-0.1))*(Assumptions!$C$38+0.05)))*12),IF(2&lt;=Assumptions!$C$41,(((Assumptions!$C$15*(1-0.1))*(Assumptions!$C$38+0.05))*Assumptions!$C$40),(-PMT(Assumptions!$C$40/12,Assumptions!$C$42*12,((Assumptions!$C$15*(1-0.1))*(Assumptions!$C$38+0.05)))*12)))))-Assumptions!$C$58-IF(Assumptions!$C$28=1,IF(2=1,Assumptions!$C$26,0),Assumptions!$C$26/Assumptions!$H$15)-Assumptions!$C$33)+IF(2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+0.05)),IF(Assumptions!$C$37=2,(-FV(Assumptions!$C$40/12,Assumptions!$H$15*12,PMT(Assumptions!$C$40/12,Assumptions!$C$42*12,((Assumptions!$C$15*(1-0.1))*(Assumptions!$C$38+0.05))),((Assumptions!$C$15*(1-0.1))*(Assumptions!$C$38+0.05)))),(-FV(Assumptions!$C$40/12,MAX(0,Assumptions!$H$15-Assumptions!$C$41)*12,PMT(Assumptions!$C$40/12,Assumptions!$C$42*12,((Assumptions!$C$15*(1-0.1))*(Assumptions!$C$38+0.05))),((Assumptions!$C$15*(1-0.1)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F63" s="98" t="n">
        <f aca="false">IF(3&gt;Assumptions!$H$15,0,IF('Pro Forma'!F$26="",0,'Pro Forma'!F$26-(IF(Assumptions!$C$37=1,(((Assumptions!$C$15*(1-0.1))*(Assumptions!$C$38+0.05))*Assumptions!$C$40),IF(Assumptions!$C$37=2,(-PMT(Assumptions!$C$40/12,Assumptions!$C$42*12,((Assumptions!$C$15*(1-0.1))*(Assumptions!$C$38+0.05)))*12),IF(3&lt;=Assumptions!$C$41,(((Assumptions!$C$15*(1-0.1))*(Assumptions!$C$38+0.05))*Assumptions!$C$40),(-PMT(Assumptions!$C$40/12,Assumptions!$C$42*12,((Assumptions!$C$15*(1-0.1))*(Assumptions!$C$38+0.05)))*12)))))-Assumptions!$C$58-IF(Assumptions!$C$28=1,IF(3=1,Assumptions!$C$26,0),Assumptions!$C$26/Assumptions!$H$15)-Assumptions!$C$33)+IF(3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+0.05)),IF(Assumptions!$C$37=2,(-FV(Assumptions!$C$40/12,Assumptions!$H$15*12,PMT(Assumptions!$C$40/12,Assumptions!$C$42*12,((Assumptions!$C$15*(1-0.1))*(Assumptions!$C$38+0.05))),((Assumptions!$C$15*(1-0.1))*(Assumptions!$C$38+0.05)))),(-FV(Assumptions!$C$40/12,MAX(0,Assumptions!$H$15-Assumptions!$C$41)*12,PMT(Assumptions!$C$40/12,Assumptions!$C$42*12,((Assumptions!$C$15*(1-0.1))*(Assumptions!$C$38+0.05))),((Assumptions!$C$15*(1-0.1)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G63" s="98" t="n">
        <f aca="false">IF(4&gt;Assumptions!$H$15,0,IF('Pro Forma'!G$26="",0,'Pro Forma'!G$26-(IF(Assumptions!$C$37=1,(((Assumptions!$C$15*(1-0.1))*(Assumptions!$C$38+0.05))*Assumptions!$C$40),IF(Assumptions!$C$37=2,(-PMT(Assumptions!$C$40/12,Assumptions!$C$42*12,((Assumptions!$C$15*(1-0.1))*(Assumptions!$C$38+0.05)))*12),IF(4&lt;=Assumptions!$C$41,(((Assumptions!$C$15*(1-0.1))*(Assumptions!$C$38+0.05))*Assumptions!$C$40),(-PMT(Assumptions!$C$40/12,Assumptions!$C$42*12,((Assumptions!$C$15*(1-0.1))*(Assumptions!$C$38+0.05)))*12)))))-Assumptions!$C$58-IF(Assumptions!$C$28=1,IF(4=1,Assumptions!$C$26,0),Assumptions!$C$26/Assumptions!$H$15)-Assumptions!$C$33)+IF(4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+0.05)),IF(Assumptions!$C$37=2,(-FV(Assumptions!$C$40/12,Assumptions!$H$15*12,PMT(Assumptions!$C$40/12,Assumptions!$C$42*12,((Assumptions!$C$15*(1-0.1))*(Assumptions!$C$38+0.05))),((Assumptions!$C$15*(1-0.1))*(Assumptions!$C$38+0.05)))),(-FV(Assumptions!$C$40/12,MAX(0,Assumptions!$H$15-Assumptions!$C$41)*12,PMT(Assumptions!$C$40/12,Assumptions!$C$42*12,((Assumptions!$C$15*(1-0.1))*(Assumptions!$C$38+0.05))),((Assumptions!$C$15*(1-0.1)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H63" s="98" t="n">
        <f aca="false">IF(5&gt;Assumptions!$H$15,0,IF('Pro Forma'!H$26="",0,'Pro Forma'!H$26-(IF(Assumptions!$C$37=1,(((Assumptions!$C$15*(1-0.1))*(Assumptions!$C$38+0.05))*Assumptions!$C$40),IF(Assumptions!$C$37=2,(-PMT(Assumptions!$C$40/12,Assumptions!$C$42*12,((Assumptions!$C$15*(1-0.1))*(Assumptions!$C$38+0.05)))*12),IF(5&lt;=Assumptions!$C$41,(((Assumptions!$C$15*(1-0.1))*(Assumptions!$C$38+0.05))*Assumptions!$C$40),(-PMT(Assumptions!$C$40/12,Assumptions!$C$42*12,((Assumptions!$C$15*(1-0.1))*(Assumptions!$C$38+0.05)))*12)))))-Assumptions!$C$58-IF(Assumptions!$C$28=1,IF(5=1,Assumptions!$C$26,0),Assumptions!$C$26/Assumptions!$H$15)-Assumptions!$C$33)+IF(5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+0.05)),IF(Assumptions!$C$37=2,(-FV(Assumptions!$C$40/12,Assumptions!$H$15*12,PMT(Assumptions!$C$40/12,Assumptions!$C$42*12,((Assumptions!$C$15*(1-0.1))*(Assumptions!$C$38+0.05))),((Assumptions!$C$15*(1-0.1))*(Assumptions!$C$38+0.05)))),(-FV(Assumptions!$C$40/12,MAX(0,Assumptions!$H$15-Assumptions!$C$41)*12,PMT(Assumptions!$C$40/12,Assumptions!$C$42*12,((Assumptions!$C$15*(1-0.1))*(Assumptions!$C$38+0.05))),((Assumptions!$C$15*(1-0.1)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I63" s="98" t="n">
        <f aca="false">IF(6&gt;Assumptions!$H$15,0,IF('Pro Forma'!I$26="",0,'Pro Forma'!I$26-(IF(Assumptions!$C$37=1,(((Assumptions!$C$15*(1-0.1))*(Assumptions!$C$38+0.05))*Assumptions!$C$40),IF(Assumptions!$C$37=2,(-PMT(Assumptions!$C$40/12,Assumptions!$C$42*12,((Assumptions!$C$15*(1-0.1))*(Assumptions!$C$38+0.05)))*12),IF(6&lt;=Assumptions!$C$41,(((Assumptions!$C$15*(1-0.1))*(Assumptions!$C$38+0.05))*Assumptions!$C$40),(-PMT(Assumptions!$C$40/12,Assumptions!$C$42*12,((Assumptions!$C$15*(1-0.1))*(Assumptions!$C$38+0.05)))*12)))))-Assumptions!$C$58-IF(Assumptions!$C$28=1,IF(6=1,Assumptions!$C$26,0),Assumptions!$C$26/Assumptions!$H$15)-Assumptions!$C$33)+IF(6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+0.05)),IF(Assumptions!$C$37=2,(-FV(Assumptions!$C$40/12,Assumptions!$H$15*12,PMT(Assumptions!$C$40/12,Assumptions!$C$42*12,((Assumptions!$C$15*(1-0.1))*(Assumptions!$C$38+0.05))),((Assumptions!$C$15*(1-0.1))*(Assumptions!$C$38+0.05)))),(-FV(Assumptions!$C$40/12,MAX(0,Assumptions!$H$15-Assumptions!$C$41)*12,PMT(Assumptions!$C$40/12,Assumptions!$C$42*12,((Assumptions!$C$15*(1-0.1))*(Assumptions!$C$38+0.05))),((Assumptions!$C$15*(1-0.1)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J63" s="98" t="n">
        <f aca="false">IF(7&gt;Assumptions!$H$15,0,IF('Pro Forma'!J$26="",0,'Pro Forma'!J$26-(IF(Assumptions!$C$37=1,(((Assumptions!$C$15*(1-0.1))*(Assumptions!$C$38+0.05))*Assumptions!$C$40),IF(Assumptions!$C$37=2,(-PMT(Assumptions!$C$40/12,Assumptions!$C$42*12,((Assumptions!$C$15*(1-0.1))*(Assumptions!$C$38+0.05)))*12),IF(7&lt;=Assumptions!$C$41,(((Assumptions!$C$15*(1-0.1))*(Assumptions!$C$38+0.05))*Assumptions!$C$40),(-PMT(Assumptions!$C$40/12,Assumptions!$C$42*12,((Assumptions!$C$15*(1-0.1))*(Assumptions!$C$38+0.05)))*12)))))-Assumptions!$C$58-IF(Assumptions!$C$28=1,IF(7=1,Assumptions!$C$26,0),Assumptions!$C$26/Assumptions!$H$15)-Assumptions!$C$33)+IF(7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+0.05)),IF(Assumptions!$C$37=2,(-FV(Assumptions!$C$40/12,Assumptions!$H$15*12,PMT(Assumptions!$C$40/12,Assumptions!$C$42*12,((Assumptions!$C$15*(1-0.1))*(Assumptions!$C$38+0.05))),((Assumptions!$C$15*(1-0.1))*(Assumptions!$C$38+0.05)))),(-FV(Assumptions!$C$40/12,MAX(0,Assumptions!$H$15-Assumptions!$C$41)*12,PMT(Assumptions!$C$40/12,Assumptions!$C$42*12,((Assumptions!$C$15*(1-0.1))*(Assumptions!$C$38+0.05))),((Assumptions!$C$15*(1-0.1)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K63" s="98" t="n">
        <f aca="false">IF(8&gt;Assumptions!$H$15,0,IF('Pro Forma'!K$26="",0,'Pro Forma'!K$26-(IF(Assumptions!$C$37=1,(((Assumptions!$C$15*(1-0.1))*(Assumptions!$C$38+0.05))*Assumptions!$C$40),IF(Assumptions!$C$37=2,(-PMT(Assumptions!$C$40/12,Assumptions!$C$42*12,((Assumptions!$C$15*(1-0.1))*(Assumptions!$C$38+0.05)))*12),IF(8&lt;=Assumptions!$C$41,(((Assumptions!$C$15*(1-0.1))*(Assumptions!$C$38+0.05))*Assumptions!$C$40),(-PMT(Assumptions!$C$40/12,Assumptions!$C$42*12,((Assumptions!$C$15*(1-0.1))*(Assumptions!$C$38+0.05)))*12)))))-Assumptions!$C$58-IF(Assumptions!$C$28=1,IF(8=1,Assumptions!$C$26,0),Assumptions!$C$26/Assumptions!$H$15)-Assumptions!$C$33)+IF(8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+0.05)),IF(Assumptions!$C$37=2,(-FV(Assumptions!$C$40/12,Assumptions!$H$15*12,PMT(Assumptions!$C$40/12,Assumptions!$C$42*12,((Assumptions!$C$15*(1-0.1))*(Assumptions!$C$38+0.05))),((Assumptions!$C$15*(1-0.1))*(Assumptions!$C$38+0.05)))),(-FV(Assumptions!$C$40/12,MAX(0,Assumptions!$H$15-Assumptions!$C$41)*12,PMT(Assumptions!$C$40/12,Assumptions!$C$42*12,((Assumptions!$C$15*(1-0.1))*(Assumptions!$C$38+0.05))),((Assumptions!$C$15*(1-0.1)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L63" s="98" t="n">
        <f aca="false">IF(9&gt;Assumptions!$H$15,0,IF('Pro Forma'!L$26="",0,'Pro Forma'!L$26-(IF(Assumptions!$C$37=1,(((Assumptions!$C$15*(1-0.1))*(Assumptions!$C$38+0.05))*Assumptions!$C$40),IF(Assumptions!$C$37=2,(-PMT(Assumptions!$C$40/12,Assumptions!$C$42*12,((Assumptions!$C$15*(1-0.1))*(Assumptions!$C$38+0.05)))*12),IF(9&lt;=Assumptions!$C$41,(((Assumptions!$C$15*(1-0.1))*(Assumptions!$C$38+0.05))*Assumptions!$C$40),(-PMT(Assumptions!$C$40/12,Assumptions!$C$42*12,((Assumptions!$C$15*(1-0.1))*(Assumptions!$C$38+0.05)))*12)))))-Assumptions!$C$58-IF(Assumptions!$C$28=1,IF(9=1,Assumptions!$C$26,0),Assumptions!$C$26/Assumptions!$H$15)-Assumptions!$C$33)+IF(9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+0.05)),IF(Assumptions!$C$37=2,(-FV(Assumptions!$C$40/12,Assumptions!$H$15*12,PMT(Assumptions!$C$40/12,Assumptions!$C$42*12,((Assumptions!$C$15*(1-0.1))*(Assumptions!$C$38+0.05))),((Assumptions!$C$15*(1-0.1))*(Assumptions!$C$38+0.05)))),(-FV(Assumptions!$C$40/12,MAX(0,Assumptions!$H$15-Assumptions!$C$41)*12,PMT(Assumptions!$C$40/12,Assumptions!$C$42*12,((Assumptions!$C$15*(1-0.1))*(Assumptions!$C$38+0.05))),((Assumptions!$C$15*(1-0.1)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M63" s="98" t="n">
        <f aca="false">IF(10&gt;Assumptions!$H$15,0,IF('Pro Forma'!M$26="",0,'Pro Forma'!M$26-(IF(Assumptions!$C$37=1,(((Assumptions!$C$15*(1-0.1))*(Assumptions!$C$38+0.05))*Assumptions!$C$40),IF(Assumptions!$C$37=2,(-PMT(Assumptions!$C$40/12,Assumptions!$C$42*12,((Assumptions!$C$15*(1-0.1))*(Assumptions!$C$38+0.05)))*12),IF(10&lt;=Assumptions!$C$41,(((Assumptions!$C$15*(1-0.1))*(Assumptions!$C$38+0.05))*Assumptions!$C$40),(-PMT(Assumptions!$C$40/12,Assumptions!$C$42*12,((Assumptions!$C$15*(1-0.1))*(Assumptions!$C$38+0.05)))*12)))))-Assumptions!$C$58-IF(Assumptions!$C$28=1,IF(10=1,Assumptions!$C$26,0),Assumptions!$C$26/Assumptions!$H$15)-Assumptions!$C$33)+IF(10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+0.05)),IF(Assumptions!$C$37=2,(-FV(Assumptions!$C$40/12,Assumptions!$H$15*12,PMT(Assumptions!$C$40/12,Assumptions!$C$42*12,((Assumptions!$C$15*(1-0.1))*(Assumptions!$C$38+0.05))),((Assumptions!$C$15*(1-0.1))*(Assumptions!$C$38+0.05)))),(-FV(Assumptions!$C$40/12,MAX(0,Assumptions!$H$15-Assumptions!$C$41)*12,PMT(Assumptions!$C$40/12,Assumptions!$C$42*12,((Assumptions!$C$15*(1-0.1))*(Assumptions!$C$38+0.05))),((Assumptions!$C$15*(1-0.1)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N63" s="99" t="n">
        <f aca="false">IFERROR(IRR(C63:M63),0)</f>
        <v>0</v>
      </c>
    </row>
    <row r="64" customFormat="false" ht="15" hidden="false" customHeight="true" outlineLevel="0" collapsed="false">
      <c r="C64" s="98" t="n">
        <f aca="false">-(((Assumptions!$C$15*(1-0.1))*(1+Assumptions!$C$18))-((Assumptions!$C$15*(1-0.1))*(Assumptions!$C$38-0.1)))</f>
        <v>-0</v>
      </c>
      <c r="D64" s="98" t="n">
        <f aca="false">IF(1&gt;Assumptions!$H$15,0,IF('Pro Forma'!D$26="",0,'Pro Forma'!D$26-(IF(Assumptions!$C$37=1,(((Assumptions!$C$15*(1-0.1))*(Assumptions!$C$38+0.1))*Assumptions!$C$40),IF(Assumptions!$C$37=2,(-PMT(Assumptions!$C$40/12,Assumptions!$C$42*12,((Assumptions!$C$15*(1-0.1))*(Assumptions!$C$38+0.1)))*12),IF(1&lt;=Assumptions!$C$41,(((Assumptions!$C$15*(1-0.1))*(Assumptions!$C$38+0.1))*Assumptions!$C$40),(-PMT(Assumptions!$C$40/12,Assumptions!$C$42*12,((Assumptions!$C$15*(1-0.1))*(Assumptions!$C$38+0.1)))*12)))))-Assumptions!$C$58-IF(Assumptions!$C$28=1,IF(1=1,Assumptions!$C$26,0),Assumptions!$C$26/Assumptions!$H$15)-Assumptions!$C$33)+IF(1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+0.1)),IF(Assumptions!$C$37=2,(-FV(Assumptions!$C$40/12,Assumptions!$H$15*12,PMT(Assumptions!$C$40/12,Assumptions!$C$42*12,((Assumptions!$C$15*(1-0.1))*(Assumptions!$C$38+0.1))),((Assumptions!$C$15*(1-0.1))*(Assumptions!$C$38+0.1)))),(-FV(Assumptions!$C$40/12,MAX(0,Assumptions!$H$15-Assumptions!$C$41)*12,PMT(Assumptions!$C$40/12,Assumptions!$C$42*12,((Assumptions!$C$15*(1-0.1))*(Assumptions!$C$38+0.1))),((Assumptions!$C$15*(1-0.1)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E64" s="98" t="n">
        <f aca="false">IF(2&gt;Assumptions!$H$15,0,IF('Pro Forma'!E$26="",0,'Pro Forma'!E$26-(IF(Assumptions!$C$37=1,(((Assumptions!$C$15*(1-0.1))*(Assumptions!$C$38+0.1))*Assumptions!$C$40),IF(Assumptions!$C$37=2,(-PMT(Assumptions!$C$40/12,Assumptions!$C$42*12,((Assumptions!$C$15*(1-0.1))*(Assumptions!$C$38+0.1)))*12),IF(2&lt;=Assumptions!$C$41,(((Assumptions!$C$15*(1-0.1))*(Assumptions!$C$38+0.1))*Assumptions!$C$40),(-PMT(Assumptions!$C$40/12,Assumptions!$C$42*12,((Assumptions!$C$15*(1-0.1))*(Assumptions!$C$38+0.1)))*12)))))-Assumptions!$C$58-IF(Assumptions!$C$28=1,IF(2=1,Assumptions!$C$26,0),Assumptions!$C$26/Assumptions!$H$15)-Assumptions!$C$33)+IF(2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+0.1)),IF(Assumptions!$C$37=2,(-FV(Assumptions!$C$40/12,Assumptions!$H$15*12,PMT(Assumptions!$C$40/12,Assumptions!$C$42*12,((Assumptions!$C$15*(1-0.1))*(Assumptions!$C$38+0.1))),((Assumptions!$C$15*(1-0.1))*(Assumptions!$C$38+0.1)))),(-FV(Assumptions!$C$40/12,MAX(0,Assumptions!$H$15-Assumptions!$C$41)*12,PMT(Assumptions!$C$40/12,Assumptions!$C$42*12,((Assumptions!$C$15*(1-0.1))*(Assumptions!$C$38+0.1))),((Assumptions!$C$15*(1-0.1)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F64" s="98" t="n">
        <f aca="false">IF(3&gt;Assumptions!$H$15,0,IF('Pro Forma'!F$26="",0,'Pro Forma'!F$26-(IF(Assumptions!$C$37=1,(((Assumptions!$C$15*(1-0.1))*(Assumptions!$C$38+0.1))*Assumptions!$C$40),IF(Assumptions!$C$37=2,(-PMT(Assumptions!$C$40/12,Assumptions!$C$42*12,((Assumptions!$C$15*(1-0.1))*(Assumptions!$C$38+0.1)))*12),IF(3&lt;=Assumptions!$C$41,(((Assumptions!$C$15*(1-0.1))*(Assumptions!$C$38+0.1))*Assumptions!$C$40),(-PMT(Assumptions!$C$40/12,Assumptions!$C$42*12,((Assumptions!$C$15*(1-0.1))*(Assumptions!$C$38+0.1)))*12)))))-Assumptions!$C$58-IF(Assumptions!$C$28=1,IF(3=1,Assumptions!$C$26,0),Assumptions!$C$26/Assumptions!$H$15)-Assumptions!$C$33)+IF(3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+0.1)),IF(Assumptions!$C$37=2,(-FV(Assumptions!$C$40/12,Assumptions!$H$15*12,PMT(Assumptions!$C$40/12,Assumptions!$C$42*12,((Assumptions!$C$15*(1-0.1))*(Assumptions!$C$38+0.1))),((Assumptions!$C$15*(1-0.1))*(Assumptions!$C$38+0.1)))),(-FV(Assumptions!$C$40/12,MAX(0,Assumptions!$H$15-Assumptions!$C$41)*12,PMT(Assumptions!$C$40/12,Assumptions!$C$42*12,((Assumptions!$C$15*(1-0.1))*(Assumptions!$C$38+0.1))),((Assumptions!$C$15*(1-0.1)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G64" s="98" t="n">
        <f aca="false">IF(4&gt;Assumptions!$H$15,0,IF('Pro Forma'!G$26="",0,'Pro Forma'!G$26-(IF(Assumptions!$C$37=1,(((Assumptions!$C$15*(1-0.1))*(Assumptions!$C$38+0.1))*Assumptions!$C$40),IF(Assumptions!$C$37=2,(-PMT(Assumptions!$C$40/12,Assumptions!$C$42*12,((Assumptions!$C$15*(1-0.1))*(Assumptions!$C$38+0.1)))*12),IF(4&lt;=Assumptions!$C$41,(((Assumptions!$C$15*(1-0.1))*(Assumptions!$C$38+0.1))*Assumptions!$C$40),(-PMT(Assumptions!$C$40/12,Assumptions!$C$42*12,((Assumptions!$C$15*(1-0.1))*(Assumptions!$C$38+0.1)))*12)))))-Assumptions!$C$58-IF(Assumptions!$C$28=1,IF(4=1,Assumptions!$C$26,0),Assumptions!$C$26/Assumptions!$H$15)-Assumptions!$C$33)+IF(4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+0.1)),IF(Assumptions!$C$37=2,(-FV(Assumptions!$C$40/12,Assumptions!$H$15*12,PMT(Assumptions!$C$40/12,Assumptions!$C$42*12,((Assumptions!$C$15*(1-0.1))*(Assumptions!$C$38+0.1))),((Assumptions!$C$15*(1-0.1))*(Assumptions!$C$38+0.1)))),(-FV(Assumptions!$C$40/12,MAX(0,Assumptions!$H$15-Assumptions!$C$41)*12,PMT(Assumptions!$C$40/12,Assumptions!$C$42*12,((Assumptions!$C$15*(1-0.1))*(Assumptions!$C$38+0.1))),((Assumptions!$C$15*(1-0.1)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H64" s="98" t="n">
        <f aca="false">IF(5&gt;Assumptions!$H$15,0,IF('Pro Forma'!H$26="",0,'Pro Forma'!H$26-(IF(Assumptions!$C$37=1,(((Assumptions!$C$15*(1-0.1))*(Assumptions!$C$38+0.1))*Assumptions!$C$40),IF(Assumptions!$C$37=2,(-PMT(Assumptions!$C$40/12,Assumptions!$C$42*12,((Assumptions!$C$15*(1-0.1))*(Assumptions!$C$38+0.1)))*12),IF(5&lt;=Assumptions!$C$41,(((Assumptions!$C$15*(1-0.1))*(Assumptions!$C$38+0.1))*Assumptions!$C$40),(-PMT(Assumptions!$C$40/12,Assumptions!$C$42*12,((Assumptions!$C$15*(1-0.1))*(Assumptions!$C$38+0.1)))*12)))))-Assumptions!$C$58-IF(Assumptions!$C$28=1,IF(5=1,Assumptions!$C$26,0),Assumptions!$C$26/Assumptions!$H$15)-Assumptions!$C$33)+IF(5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+0.1)),IF(Assumptions!$C$37=2,(-FV(Assumptions!$C$40/12,Assumptions!$H$15*12,PMT(Assumptions!$C$40/12,Assumptions!$C$42*12,((Assumptions!$C$15*(1-0.1))*(Assumptions!$C$38+0.1))),((Assumptions!$C$15*(1-0.1))*(Assumptions!$C$38+0.1)))),(-FV(Assumptions!$C$40/12,MAX(0,Assumptions!$H$15-Assumptions!$C$41)*12,PMT(Assumptions!$C$40/12,Assumptions!$C$42*12,((Assumptions!$C$15*(1-0.1))*(Assumptions!$C$38+0.1))),((Assumptions!$C$15*(1-0.1)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I64" s="98" t="n">
        <f aca="false">IF(6&gt;Assumptions!$H$15,0,IF('Pro Forma'!I$26="",0,'Pro Forma'!I$26-(IF(Assumptions!$C$37=1,(((Assumptions!$C$15*(1-0.1))*(Assumptions!$C$38+0.1))*Assumptions!$C$40),IF(Assumptions!$C$37=2,(-PMT(Assumptions!$C$40/12,Assumptions!$C$42*12,((Assumptions!$C$15*(1-0.1))*(Assumptions!$C$38+0.1)))*12),IF(6&lt;=Assumptions!$C$41,(((Assumptions!$C$15*(1-0.1))*(Assumptions!$C$38+0.1))*Assumptions!$C$40),(-PMT(Assumptions!$C$40/12,Assumptions!$C$42*12,((Assumptions!$C$15*(1-0.1))*(Assumptions!$C$38+0.1)))*12)))))-Assumptions!$C$58-IF(Assumptions!$C$28=1,IF(6=1,Assumptions!$C$26,0),Assumptions!$C$26/Assumptions!$H$15)-Assumptions!$C$33)+IF(6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+0.1)),IF(Assumptions!$C$37=2,(-FV(Assumptions!$C$40/12,Assumptions!$H$15*12,PMT(Assumptions!$C$40/12,Assumptions!$C$42*12,((Assumptions!$C$15*(1-0.1))*(Assumptions!$C$38+0.1))),((Assumptions!$C$15*(1-0.1))*(Assumptions!$C$38+0.1)))),(-FV(Assumptions!$C$40/12,MAX(0,Assumptions!$H$15-Assumptions!$C$41)*12,PMT(Assumptions!$C$40/12,Assumptions!$C$42*12,((Assumptions!$C$15*(1-0.1))*(Assumptions!$C$38+0.1))),((Assumptions!$C$15*(1-0.1)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J64" s="98" t="n">
        <f aca="false">IF(7&gt;Assumptions!$H$15,0,IF('Pro Forma'!J$26="",0,'Pro Forma'!J$26-(IF(Assumptions!$C$37=1,(((Assumptions!$C$15*(1-0.1))*(Assumptions!$C$38+0.1))*Assumptions!$C$40),IF(Assumptions!$C$37=2,(-PMT(Assumptions!$C$40/12,Assumptions!$C$42*12,((Assumptions!$C$15*(1-0.1))*(Assumptions!$C$38+0.1)))*12),IF(7&lt;=Assumptions!$C$41,(((Assumptions!$C$15*(1-0.1))*(Assumptions!$C$38+0.1))*Assumptions!$C$40),(-PMT(Assumptions!$C$40/12,Assumptions!$C$42*12,((Assumptions!$C$15*(1-0.1))*(Assumptions!$C$38+0.1)))*12)))))-Assumptions!$C$58-IF(Assumptions!$C$28=1,IF(7=1,Assumptions!$C$26,0),Assumptions!$C$26/Assumptions!$H$15)-Assumptions!$C$33)+IF(7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+0.1)),IF(Assumptions!$C$37=2,(-FV(Assumptions!$C$40/12,Assumptions!$H$15*12,PMT(Assumptions!$C$40/12,Assumptions!$C$42*12,((Assumptions!$C$15*(1-0.1))*(Assumptions!$C$38+0.1))),((Assumptions!$C$15*(1-0.1))*(Assumptions!$C$38+0.1)))),(-FV(Assumptions!$C$40/12,MAX(0,Assumptions!$H$15-Assumptions!$C$41)*12,PMT(Assumptions!$C$40/12,Assumptions!$C$42*12,((Assumptions!$C$15*(1-0.1))*(Assumptions!$C$38+0.1))),((Assumptions!$C$15*(1-0.1)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K64" s="98" t="n">
        <f aca="false">IF(8&gt;Assumptions!$H$15,0,IF('Pro Forma'!K$26="",0,'Pro Forma'!K$26-(IF(Assumptions!$C$37=1,(((Assumptions!$C$15*(1-0.1))*(Assumptions!$C$38+0.1))*Assumptions!$C$40),IF(Assumptions!$C$37=2,(-PMT(Assumptions!$C$40/12,Assumptions!$C$42*12,((Assumptions!$C$15*(1-0.1))*(Assumptions!$C$38+0.1)))*12),IF(8&lt;=Assumptions!$C$41,(((Assumptions!$C$15*(1-0.1))*(Assumptions!$C$38+0.1))*Assumptions!$C$40),(-PMT(Assumptions!$C$40/12,Assumptions!$C$42*12,((Assumptions!$C$15*(1-0.1))*(Assumptions!$C$38+0.1)))*12)))))-Assumptions!$C$58-IF(Assumptions!$C$28=1,IF(8=1,Assumptions!$C$26,0),Assumptions!$C$26/Assumptions!$H$15)-Assumptions!$C$33)+IF(8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+0.1)),IF(Assumptions!$C$37=2,(-FV(Assumptions!$C$40/12,Assumptions!$H$15*12,PMT(Assumptions!$C$40/12,Assumptions!$C$42*12,((Assumptions!$C$15*(1-0.1))*(Assumptions!$C$38+0.1))),((Assumptions!$C$15*(1-0.1))*(Assumptions!$C$38+0.1)))),(-FV(Assumptions!$C$40/12,MAX(0,Assumptions!$H$15-Assumptions!$C$41)*12,PMT(Assumptions!$C$40/12,Assumptions!$C$42*12,((Assumptions!$C$15*(1-0.1))*(Assumptions!$C$38+0.1))),((Assumptions!$C$15*(1-0.1)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L64" s="98" t="n">
        <f aca="false">IF(9&gt;Assumptions!$H$15,0,IF('Pro Forma'!L$26="",0,'Pro Forma'!L$26-(IF(Assumptions!$C$37=1,(((Assumptions!$C$15*(1-0.1))*(Assumptions!$C$38+0.1))*Assumptions!$C$40),IF(Assumptions!$C$37=2,(-PMT(Assumptions!$C$40/12,Assumptions!$C$42*12,((Assumptions!$C$15*(1-0.1))*(Assumptions!$C$38+0.1)))*12),IF(9&lt;=Assumptions!$C$41,(((Assumptions!$C$15*(1-0.1))*(Assumptions!$C$38+0.1))*Assumptions!$C$40),(-PMT(Assumptions!$C$40/12,Assumptions!$C$42*12,((Assumptions!$C$15*(1-0.1))*(Assumptions!$C$38+0.1)))*12)))))-Assumptions!$C$58-IF(Assumptions!$C$28=1,IF(9=1,Assumptions!$C$26,0),Assumptions!$C$26/Assumptions!$H$15)-Assumptions!$C$33)+IF(9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+0.1)),IF(Assumptions!$C$37=2,(-FV(Assumptions!$C$40/12,Assumptions!$H$15*12,PMT(Assumptions!$C$40/12,Assumptions!$C$42*12,((Assumptions!$C$15*(1-0.1))*(Assumptions!$C$38+0.1))),((Assumptions!$C$15*(1-0.1))*(Assumptions!$C$38+0.1)))),(-FV(Assumptions!$C$40/12,MAX(0,Assumptions!$H$15-Assumptions!$C$41)*12,PMT(Assumptions!$C$40/12,Assumptions!$C$42*12,((Assumptions!$C$15*(1-0.1))*(Assumptions!$C$38+0.1))),((Assumptions!$C$15*(1-0.1)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M64" s="98" t="n">
        <f aca="false">IF(10&gt;Assumptions!$H$15,0,IF('Pro Forma'!M$26="",0,'Pro Forma'!M$26-(IF(Assumptions!$C$37=1,(((Assumptions!$C$15*(1-0.1))*(Assumptions!$C$38+0.1))*Assumptions!$C$40),IF(Assumptions!$C$37=2,(-PMT(Assumptions!$C$40/12,Assumptions!$C$42*12,((Assumptions!$C$15*(1-0.1))*(Assumptions!$C$38+0.1)))*12),IF(10&lt;=Assumptions!$C$41,(((Assumptions!$C$15*(1-0.1))*(Assumptions!$C$38+0.1))*Assumptions!$C$40),(-PMT(Assumptions!$C$40/12,Assumptions!$C$42*12,((Assumptions!$C$15*(1-0.1))*(Assumptions!$C$38+0.1)))*12)))))-Assumptions!$C$58-IF(Assumptions!$C$28=1,IF(10=1,Assumptions!$C$26,0),Assumptions!$C$26/Assumptions!$H$15)-Assumptions!$C$33)+IF(10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+0.1)),IF(Assumptions!$C$37=2,(-FV(Assumptions!$C$40/12,Assumptions!$H$15*12,PMT(Assumptions!$C$40/12,Assumptions!$C$42*12,((Assumptions!$C$15*(1-0.1))*(Assumptions!$C$38+0.1))),((Assumptions!$C$15*(1-0.1))*(Assumptions!$C$38+0.1)))),(-FV(Assumptions!$C$40/12,MAX(0,Assumptions!$H$15-Assumptions!$C$41)*12,PMT(Assumptions!$C$40/12,Assumptions!$C$42*12,((Assumptions!$C$15*(1-0.1))*(Assumptions!$C$38+0.1))),((Assumptions!$C$15*(1-0.1)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N64" s="99" t="n">
        <f aca="false">IFERROR(IRR(C64:M64),0)</f>
        <v>0</v>
      </c>
    </row>
    <row r="65" customFormat="false" ht="15" hidden="false" customHeight="true" outlineLevel="0" collapsed="false">
      <c r="C65" s="98" t="n">
        <f aca="false">-(((Assumptions!$C$15*(1-0.1))*(1+Assumptions!$C$18))-((Assumptions!$C$15*(1-0.1))*(Assumptions!$C$38-0.1)))</f>
        <v>-0</v>
      </c>
      <c r="D65" s="98" t="n">
        <f aca="false">IF(1&gt;Assumptions!$H$15,0,IF('Pro Forma'!D$26="",0,'Pro Forma'!D$26-(IF(Assumptions!$C$37=1,(((Assumptions!$C$15*(1-0.05))*(Assumptions!$C$38-0.1))*Assumptions!$C$40),IF(Assumptions!$C$37=2,(-PMT(Assumptions!$C$40/12,Assumptions!$C$42*12,((Assumptions!$C$15*(1-0.05))*(Assumptions!$C$38-0.1)))*12),IF(1&lt;=Assumptions!$C$41,(((Assumptions!$C$15*(1-0.05))*(Assumptions!$C$38-0.1))*Assumptions!$C$40),(-PMT(Assumptions!$C$40/12,Assumptions!$C$42*12,((Assumptions!$C$15*(1-0.05))*(Assumptions!$C$38-0.1)))*12)))))-Assumptions!$C$58-IF(Assumptions!$C$28=1,IF(1=1,Assumptions!$C$26,0),Assumptions!$C$26/Assumptions!$H$15)-Assumptions!$C$33)+IF(1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$38-0.1)),IF(Assumptions!$C$37=2,(-FV(Assumptions!$C$40/12,Assumptions!$H$15*12,PMT(Assumptions!$C$40/12,Assumptions!$C$42*12,((Assumptions!$C$15*(1-0.05))*(Assumptions!$C$38-0.1))),((Assumptions!$C$15*(1-0.05))*(Assumptions!$C$38-0.1)))),(-FV(Assumptions!$C$40/12,MAX(0,Assumptions!$H$15-Assumptions!$C$41)*12,PMT(Assumptions!$C$40/12,Assumptions!$C$42*12,((Assumptions!$C$15*(1-0.05))*(Assumptions!$C$38-0.1))),((Assumptions!$C$15*(1-0.05)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E65" s="98" t="n">
        <f aca="false">IF(2&gt;Assumptions!$H$15,0,IF('Pro Forma'!E$26="",0,'Pro Forma'!E$26-(IF(Assumptions!$C$37=1,(((Assumptions!$C$15*(1-0.05))*(Assumptions!$C$38-0.1))*Assumptions!$C$40),IF(Assumptions!$C$37=2,(-PMT(Assumptions!$C$40/12,Assumptions!$C$42*12,((Assumptions!$C$15*(1-0.05))*(Assumptions!$C$38-0.1)))*12),IF(2&lt;=Assumptions!$C$41,(((Assumptions!$C$15*(1-0.05))*(Assumptions!$C$38-0.1))*Assumptions!$C$40),(-PMT(Assumptions!$C$40/12,Assumptions!$C$42*12,((Assumptions!$C$15*(1-0.05))*(Assumptions!$C$38-0.1)))*12)))))-Assumptions!$C$58-IF(Assumptions!$C$28=1,IF(2=1,Assumptions!$C$26,0),Assumptions!$C$26/Assumptions!$H$15)-Assumptions!$C$33)+IF(2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$38-0.1)),IF(Assumptions!$C$37=2,(-FV(Assumptions!$C$40/12,Assumptions!$H$15*12,PMT(Assumptions!$C$40/12,Assumptions!$C$42*12,((Assumptions!$C$15*(1-0.05))*(Assumptions!$C$38-0.1))),((Assumptions!$C$15*(1-0.05))*(Assumptions!$C$38-0.1)))),(-FV(Assumptions!$C$40/12,MAX(0,Assumptions!$H$15-Assumptions!$C$41)*12,PMT(Assumptions!$C$40/12,Assumptions!$C$42*12,((Assumptions!$C$15*(1-0.05))*(Assumptions!$C$38-0.1))),((Assumptions!$C$15*(1-0.05)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F65" s="98" t="n">
        <f aca="false">IF(3&gt;Assumptions!$H$15,0,IF('Pro Forma'!F$26="",0,'Pro Forma'!F$26-(IF(Assumptions!$C$37=1,(((Assumptions!$C$15*(1-0.05))*(Assumptions!$C$38-0.1))*Assumptions!$C$40),IF(Assumptions!$C$37=2,(-PMT(Assumptions!$C$40/12,Assumptions!$C$42*12,((Assumptions!$C$15*(1-0.05))*(Assumptions!$C$38-0.1)))*12),IF(3&lt;=Assumptions!$C$41,(((Assumptions!$C$15*(1-0.05))*(Assumptions!$C$38-0.1))*Assumptions!$C$40),(-PMT(Assumptions!$C$40/12,Assumptions!$C$42*12,((Assumptions!$C$15*(1-0.05))*(Assumptions!$C$38-0.1)))*12)))))-Assumptions!$C$58-IF(Assumptions!$C$28=1,IF(3=1,Assumptions!$C$26,0),Assumptions!$C$26/Assumptions!$H$15)-Assumptions!$C$33)+IF(3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$38-0.1)),IF(Assumptions!$C$37=2,(-FV(Assumptions!$C$40/12,Assumptions!$H$15*12,PMT(Assumptions!$C$40/12,Assumptions!$C$42*12,((Assumptions!$C$15*(1-0.05))*(Assumptions!$C$38-0.1))),((Assumptions!$C$15*(1-0.05))*(Assumptions!$C$38-0.1)))),(-FV(Assumptions!$C$40/12,MAX(0,Assumptions!$H$15-Assumptions!$C$41)*12,PMT(Assumptions!$C$40/12,Assumptions!$C$42*12,((Assumptions!$C$15*(1-0.05))*(Assumptions!$C$38-0.1))),((Assumptions!$C$15*(1-0.05)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G65" s="98" t="n">
        <f aca="false">IF(4&gt;Assumptions!$H$15,0,IF('Pro Forma'!G$26="",0,'Pro Forma'!G$26-(IF(Assumptions!$C$37=1,(((Assumptions!$C$15*(1-0.05))*(Assumptions!$C$38-0.1))*Assumptions!$C$40),IF(Assumptions!$C$37=2,(-PMT(Assumptions!$C$40/12,Assumptions!$C$42*12,((Assumptions!$C$15*(1-0.05))*(Assumptions!$C$38-0.1)))*12),IF(4&lt;=Assumptions!$C$41,(((Assumptions!$C$15*(1-0.05))*(Assumptions!$C$38-0.1))*Assumptions!$C$40),(-PMT(Assumptions!$C$40/12,Assumptions!$C$42*12,((Assumptions!$C$15*(1-0.05))*(Assumptions!$C$38-0.1)))*12)))))-Assumptions!$C$58-IF(Assumptions!$C$28=1,IF(4=1,Assumptions!$C$26,0),Assumptions!$C$26/Assumptions!$H$15)-Assumptions!$C$33)+IF(4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$38-0.1)),IF(Assumptions!$C$37=2,(-FV(Assumptions!$C$40/12,Assumptions!$H$15*12,PMT(Assumptions!$C$40/12,Assumptions!$C$42*12,((Assumptions!$C$15*(1-0.05))*(Assumptions!$C$38-0.1))),((Assumptions!$C$15*(1-0.05))*(Assumptions!$C$38-0.1)))),(-FV(Assumptions!$C$40/12,MAX(0,Assumptions!$H$15-Assumptions!$C$41)*12,PMT(Assumptions!$C$40/12,Assumptions!$C$42*12,((Assumptions!$C$15*(1-0.05))*(Assumptions!$C$38-0.1))),((Assumptions!$C$15*(1-0.05)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H65" s="98" t="n">
        <f aca="false">IF(5&gt;Assumptions!$H$15,0,IF('Pro Forma'!H$26="",0,'Pro Forma'!H$26-(IF(Assumptions!$C$37=1,(((Assumptions!$C$15*(1-0.05))*(Assumptions!$C$38-0.1))*Assumptions!$C$40),IF(Assumptions!$C$37=2,(-PMT(Assumptions!$C$40/12,Assumptions!$C$42*12,((Assumptions!$C$15*(1-0.05))*(Assumptions!$C$38-0.1)))*12),IF(5&lt;=Assumptions!$C$41,(((Assumptions!$C$15*(1-0.05))*(Assumptions!$C$38-0.1))*Assumptions!$C$40),(-PMT(Assumptions!$C$40/12,Assumptions!$C$42*12,((Assumptions!$C$15*(1-0.05))*(Assumptions!$C$38-0.1)))*12)))))-Assumptions!$C$58-IF(Assumptions!$C$28=1,IF(5=1,Assumptions!$C$26,0),Assumptions!$C$26/Assumptions!$H$15)-Assumptions!$C$33)+IF(5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$38-0.1)),IF(Assumptions!$C$37=2,(-FV(Assumptions!$C$40/12,Assumptions!$H$15*12,PMT(Assumptions!$C$40/12,Assumptions!$C$42*12,((Assumptions!$C$15*(1-0.05))*(Assumptions!$C$38-0.1))),((Assumptions!$C$15*(1-0.05))*(Assumptions!$C$38-0.1)))),(-FV(Assumptions!$C$40/12,MAX(0,Assumptions!$H$15-Assumptions!$C$41)*12,PMT(Assumptions!$C$40/12,Assumptions!$C$42*12,((Assumptions!$C$15*(1-0.05))*(Assumptions!$C$38-0.1))),((Assumptions!$C$15*(1-0.05)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I65" s="98" t="n">
        <f aca="false">IF(6&gt;Assumptions!$H$15,0,IF('Pro Forma'!I$26="",0,'Pro Forma'!I$26-(IF(Assumptions!$C$37=1,(((Assumptions!$C$15*(1-0.05))*(Assumptions!$C$38-0.1))*Assumptions!$C$40),IF(Assumptions!$C$37=2,(-PMT(Assumptions!$C$40/12,Assumptions!$C$42*12,((Assumptions!$C$15*(1-0.05))*(Assumptions!$C$38-0.1)))*12),IF(6&lt;=Assumptions!$C$41,(((Assumptions!$C$15*(1-0.05))*(Assumptions!$C$38-0.1))*Assumptions!$C$40),(-PMT(Assumptions!$C$40/12,Assumptions!$C$42*12,((Assumptions!$C$15*(1-0.05))*(Assumptions!$C$38-0.1)))*12)))))-Assumptions!$C$58-IF(Assumptions!$C$28=1,IF(6=1,Assumptions!$C$26,0),Assumptions!$C$26/Assumptions!$H$15)-Assumptions!$C$33)+IF(6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$38-0.1)),IF(Assumptions!$C$37=2,(-FV(Assumptions!$C$40/12,Assumptions!$H$15*12,PMT(Assumptions!$C$40/12,Assumptions!$C$42*12,((Assumptions!$C$15*(1-0.05))*(Assumptions!$C$38-0.1))),((Assumptions!$C$15*(1-0.05))*(Assumptions!$C$38-0.1)))),(-FV(Assumptions!$C$40/12,MAX(0,Assumptions!$H$15-Assumptions!$C$41)*12,PMT(Assumptions!$C$40/12,Assumptions!$C$42*12,((Assumptions!$C$15*(1-0.05))*(Assumptions!$C$38-0.1))),((Assumptions!$C$15*(1-0.05)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J65" s="98" t="n">
        <f aca="false">IF(7&gt;Assumptions!$H$15,0,IF('Pro Forma'!J$26="",0,'Pro Forma'!J$26-(IF(Assumptions!$C$37=1,(((Assumptions!$C$15*(1-0.05))*(Assumptions!$C$38-0.1))*Assumptions!$C$40),IF(Assumptions!$C$37=2,(-PMT(Assumptions!$C$40/12,Assumptions!$C$42*12,((Assumptions!$C$15*(1-0.05))*(Assumptions!$C$38-0.1)))*12),IF(7&lt;=Assumptions!$C$41,(((Assumptions!$C$15*(1-0.05))*(Assumptions!$C$38-0.1))*Assumptions!$C$40),(-PMT(Assumptions!$C$40/12,Assumptions!$C$42*12,((Assumptions!$C$15*(1-0.05))*(Assumptions!$C$38-0.1)))*12)))))-Assumptions!$C$58-IF(Assumptions!$C$28=1,IF(7=1,Assumptions!$C$26,0),Assumptions!$C$26/Assumptions!$H$15)-Assumptions!$C$33)+IF(7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$38-0.1)),IF(Assumptions!$C$37=2,(-FV(Assumptions!$C$40/12,Assumptions!$H$15*12,PMT(Assumptions!$C$40/12,Assumptions!$C$42*12,((Assumptions!$C$15*(1-0.05))*(Assumptions!$C$38-0.1))),((Assumptions!$C$15*(1-0.05))*(Assumptions!$C$38-0.1)))),(-FV(Assumptions!$C$40/12,MAX(0,Assumptions!$H$15-Assumptions!$C$41)*12,PMT(Assumptions!$C$40/12,Assumptions!$C$42*12,((Assumptions!$C$15*(1-0.05))*(Assumptions!$C$38-0.1))),((Assumptions!$C$15*(1-0.05)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K65" s="98" t="n">
        <f aca="false">IF(8&gt;Assumptions!$H$15,0,IF('Pro Forma'!K$26="",0,'Pro Forma'!K$26-(IF(Assumptions!$C$37=1,(((Assumptions!$C$15*(1-0.05))*(Assumptions!$C$38-0.1))*Assumptions!$C$40),IF(Assumptions!$C$37=2,(-PMT(Assumptions!$C$40/12,Assumptions!$C$42*12,((Assumptions!$C$15*(1-0.05))*(Assumptions!$C$38-0.1)))*12),IF(8&lt;=Assumptions!$C$41,(((Assumptions!$C$15*(1-0.05))*(Assumptions!$C$38-0.1))*Assumptions!$C$40),(-PMT(Assumptions!$C$40/12,Assumptions!$C$42*12,((Assumptions!$C$15*(1-0.05))*(Assumptions!$C$38-0.1)))*12)))))-Assumptions!$C$58-IF(Assumptions!$C$28=1,IF(8=1,Assumptions!$C$26,0),Assumptions!$C$26/Assumptions!$H$15)-Assumptions!$C$33)+IF(8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$38-0.1)),IF(Assumptions!$C$37=2,(-FV(Assumptions!$C$40/12,Assumptions!$H$15*12,PMT(Assumptions!$C$40/12,Assumptions!$C$42*12,((Assumptions!$C$15*(1-0.05))*(Assumptions!$C$38-0.1))),((Assumptions!$C$15*(1-0.05))*(Assumptions!$C$38-0.1)))),(-FV(Assumptions!$C$40/12,MAX(0,Assumptions!$H$15-Assumptions!$C$41)*12,PMT(Assumptions!$C$40/12,Assumptions!$C$42*12,((Assumptions!$C$15*(1-0.05))*(Assumptions!$C$38-0.1))),((Assumptions!$C$15*(1-0.05)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L65" s="98" t="n">
        <f aca="false">IF(9&gt;Assumptions!$H$15,0,IF('Pro Forma'!L$26="",0,'Pro Forma'!L$26-(IF(Assumptions!$C$37=1,(((Assumptions!$C$15*(1-0.05))*(Assumptions!$C$38-0.1))*Assumptions!$C$40),IF(Assumptions!$C$37=2,(-PMT(Assumptions!$C$40/12,Assumptions!$C$42*12,((Assumptions!$C$15*(1-0.05))*(Assumptions!$C$38-0.1)))*12),IF(9&lt;=Assumptions!$C$41,(((Assumptions!$C$15*(1-0.05))*(Assumptions!$C$38-0.1))*Assumptions!$C$40),(-PMT(Assumptions!$C$40/12,Assumptions!$C$42*12,((Assumptions!$C$15*(1-0.05))*(Assumptions!$C$38-0.1)))*12)))))-Assumptions!$C$58-IF(Assumptions!$C$28=1,IF(9=1,Assumptions!$C$26,0),Assumptions!$C$26/Assumptions!$H$15)-Assumptions!$C$33)+IF(9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$38-0.1)),IF(Assumptions!$C$37=2,(-FV(Assumptions!$C$40/12,Assumptions!$H$15*12,PMT(Assumptions!$C$40/12,Assumptions!$C$42*12,((Assumptions!$C$15*(1-0.05))*(Assumptions!$C$38-0.1))),((Assumptions!$C$15*(1-0.05))*(Assumptions!$C$38-0.1)))),(-FV(Assumptions!$C$40/12,MAX(0,Assumptions!$H$15-Assumptions!$C$41)*12,PMT(Assumptions!$C$40/12,Assumptions!$C$42*12,((Assumptions!$C$15*(1-0.05))*(Assumptions!$C$38-0.1))),((Assumptions!$C$15*(1-0.05)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M65" s="98" t="n">
        <f aca="false">IF(10&gt;Assumptions!$H$15,0,IF('Pro Forma'!M$26="",0,'Pro Forma'!M$26-(IF(Assumptions!$C$37=1,(((Assumptions!$C$15*(1-0.05))*(Assumptions!$C$38-0.1))*Assumptions!$C$40),IF(Assumptions!$C$37=2,(-PMT(Assumptions!$C$40/12,Assumptions!$C$42*12,((Assumptions!$C$15*(1-0.05))*(Assumptions!$C$38-0.1)))*12),IF(10&lt;=Assumptions!$C$41,(((Assumptions!$C$15*(1-0.05))*(Assumptions!$C$38-0.1))*Assumptions!$C$40),(-PMT(Assumptions!$C$40/12,Assumptions!$C$42*12,((Assumptions!$C$15*(1-0.05))*(Assumptions!$C$38-0.1)))*12)))))-Assumptions!$C$58-IF(Assumptions!$C$28=1,IF(10=1,Assumptions!$C$26,0),Assumptions!$C$26/Assumptions!$H$15)-Assumptions!$C$33)+IF(10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$38-0.1)),IF(Assumptions!$C$37=2,(-FV(Assumptions!$C$40/12,Assumptions!$H$15*12,PMT(Assumptions!$C$40/12,Assumptions!$C$42*12,((Assumptions!$C$15*(1-0.05))*(Assumptions!$C$38-0.1))),((Assumptions!$C$15*(1-0.05))*(Assumptions!$C$38-0.1)))),(-FV(Assumptions!$C$40/12,MAX(0,Assumptions!$H$15-Assumptions!$C$41)*12,PMT(Assumptions!$C$40/12,Assumptions!$C$42*12,((Assumptions!$C$15*(1-0.05))*(Assumptions!$C$38-0.1))),((Assumptions!$C$15*(1-0.05)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N65" s="99" t="n">
        <f aca="false">IFERROR(IRR(C65:M65),0)</f>
        <v>0</v>
      </c>
    </row>
    <row r="66" customFormat="false" ht="15" hidden="false" customHeight="true" outlineLevel="0" collapsed="false">
      <c r="C66" s="98" t="n">
        <f aca="false">-(((Assumptions!$C$15*(1-0.1))*(1+Assumptions!$C$18))-((Assumptions!$C$15*(1-0.1))*(Assumptions!$C$38-0.1)))</f>
        <v>-0</v>
      </c>
      <c r="D66" s="98" t="n">
        <f aca="false">IF(1&gt;Assumptions!$H$15,0,IF('Pro Forma'!D$26="",0,'Pro Forma'!D$26-(IF(Assumptions!$C$37=1,(((Assumptions!$C$15*(1-0.05))*(Assumptions!$C$38-0.05))*Assumptions!$C$40),IF(Assumptions!$C$37=2,(-PMT(Assumptions!$C$40/12,Assumptions!$C$42*12,((Assumptions!$C$15*(1-0.05))*(Assumptions!$C$38-0.05)))*12),IF(1&lt;=Assumptions!$C$41,(((Assumptions!$C$15*(1-0.05))*(Assumptions!$C$38-0.05))*Assumptions!$C$40),(-PMT(Assumptions!$C$40/12,Assumptions!$C$42*12,((Assumptions!$C$15*(1-0.05))*(Assumptions!$C$38-0.05)))*12)))))-Assumptions!$C$58-IF(Assumptions!$C$28=1,IF(1=1,Assumptions!$C$26,0),Assumptions!$C$26/Assumptions!$H$15)-Assumptions!$C$33)+IF(1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$38-0.05)),IF(Assumptions!$C$37=2,(-FV(Assumptions!$C$40/12,Assumptions!$H$15*12,PMT(Assumptions!$C$40/12,Assumptions!$C$42*12,((Assumptions!$C$15*(1-0.05))*(Assumptions!$C$38-0.05))),((Assumptions!$C$15*(1-0.05))*(Assumptions!$C$38-0.05)))),(-FV(Assumptions!$C$40/12,MAX(0,Assumptions!$H$15-Assumptions!$C$41)*12,PMT(Assumptions!$C$40/12,Assumptions!$C$42*12,((Assumptions!$C$15*(1-0.05))*(Assumptions!$C$38-0.05))),((Assumptions!$C$15*(1-0.05)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E66" s="98" t="n">
        <f aca="false">IF(2&gt;Assumptions!$H$15,0,IF('Pro Forma'!E$26="",0,'Pro Forma'!E$26-(IF(Assumptions!$C$37=1,(((Assumptions!$C$15*(1-0.05))*(Assumptions!$C$38-0.05))*Assumptions!$C$40),IF(Assumptions!$C$37=2,(-PMT(Assumptions!$C$40/12,Assumptions!$C$42*12,((Assumptions!$C$15*(1-0.05))*(Assumptions!$C$38-0.05)))*12),IF(2&lt;=Assumptions!$C$41,(((Assumptions!$C$15*(1-0.05))*(Assumptions!$C$38-0.05))*Assumptions!$C$40),(-PMT(Assumptions!$C$40/12,Assumptions!$C$42*12,((Assumptions!$C$15*(1-0.05))*(Assumptions!$C$38-0.05)))*12)))))-Assumptions!$C$58-IF(Assumptions!$C$28=1,IF(2=1,Assumptions!$C$26,0),Assumptions!$C$26/Assumptions!$H$15)-Assumptions!$C$33)+IF(2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$38-0.05)),IF(Assumptions!$C$37=2,(-FV(Assumptions!$C$40/12,Assumptions!$H$15*12,PMT(Assumptions!$C$40/12,Assumptions!$C$42*12,((Assumptions!$C$15*(1-0.05))*(Assumptions!$C$38-0.05))),((Assumptions!$C$15*(1-0.05))*(Assumptions!$C$38-0.05)))),(-FV(Assumptions!$C$40/12,MAX(0,Assumptions!$H$15-Assumptions!$C$41)*12,PMT(Assumptions!$C$40/12,Assumptions!$C$42*12,((Assumptions!$C$15*(1-0.05))*(Assumptions!$C$38-0.05))),((Assumptions!$C$15*(1-0.05)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F66" s="98" t="n">
        <f aca="false">IF(3&gt;Assumptions!$H$15,0,IF('Pro Forma'!F$26="",0,'Pro Forma'!F$26-(IF(Assumptions!$C$37=1,(((Assumptions!$C$15*(1-0.05))*(Assumptions!$C$38-0.05))*Assumptions!$C$40),IF(Assumptions!$C$37=2,(-PMT(Assumptions!$C$40/12,Assumptions!$C$42*12,((Assumptions!$C$15*(1-0.05))*(Assumptions!$C$38-0.05)))*12),IF(3&lt;=Assumptions!$C$41,(((Assumptions!$C$15*(1-0.05))*(Assumptions!$C$38-0.05))*Assumptions!$C$40),(-PMT(Assumptions!$C$40/12,Assumptions!$C$42*12,((Assumptions!$C$15*(1-0.05))*(Assumptions!$C$38-0.05)))*12)))))-Assumptions!$C$58-IF(Assumptions!$C$28=1,IF(3=1,Assumptions!$C$26,0),Assumptions!$C$26/Assumptions!$H$15)-Assumptions!$C$33)+IF(3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$38-0.05)),IF(Assumptions!$C$37=2,(-FV(Assumptions!$C$40/12,Assumptions!$H$15*12,PMT(Assumptions!$C$40/12,Assumptions!$C$42*12,((Assumptions!$C$15*(1-0.05))*(Assumptions!$C$38-0.05))),((Assumptions!$C$15*(1-0.05))*(Assumptions!$C$38-0.05)))),(-FV(Assumptions!$C$40/12,MAX(0,Assumptions!$H$15-Assumptions!$C$41)*12,PMT(Assumptions!$C$40/12,Assumptions!$C$42*12,((Assumptions!$C$15*(1-0.05))*(Assumptions!$C$38-0.05))),((Assumptions!$C$15*(1-0.05)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G66" s="98" t="n">
        <f aca="false">IF(4&gt;Assumptions!$H$15,0,IF('Pro Forma'!G$26="",0,'Pro Forma'!G$26-(IF(Assumptions!$C$37=1,(((Assumptions!$C$15*(1-0.05))*(Assumptions!$C$38-0.05))*Assumptions!$C$40),IF(Assumptions!$C$37=2,(-PMT(Assumptions!$C$40/12,Assumptions!$C$42*12,((Assumptions!$C$15*(1-0.05))*(Assumptions!$C$38-0.05)))*12),IF(4&lt;=Assumptions!$C$41,(((Assumptions!$C$15*(1-0.05))*(Assumptions!$C$38-0.05))*Assumptions!$C$40),(-PMT(Assumptions!$C$40/12,Assumptions!$C$42*12,((Assumptions!$C$15*(1-0.05))*(Assumptions!$C$38-0.05)))*12)))))-Assumptions!$C$58-IF(Assumptions!$C$28=1,IF(4=1,Assumptions!$C$26,0),Assumptions!$C$26/Assumptions!$H$15)-Assumptions!$C$33)+IF(4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$38-0.05)),IF(Assumptions!$C$37=2,(-FV(Assumptions!$C$40/12,Assumptions!$H$15*12,PMT(Assumptions!$C$40/12,Assumptions!$C$42*12,((Assumptions!$C$15*(1-0.05))*(Assumptions!$C$38-0.05))),((Assumptions!$C$15*(1-0.05))*(Assumptions!$C$38-0.05)))),(-FV(Assumptions!$C$40/12,MAX(0,Assumptions!$H$15-Assumptions!$C$41)*12,PMT(Assumptions!$C$40/12,Assumptions!$C$42*12,((Assumptions!$C$15*(1-0.05))*(Assumptions!$C$38-0.05))),((Assumptions!$C$15*(1-0.05)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H66" s="98" t="n">
        <f aca="false">IF(5&gt;Assumptions!$H$15,0,IF('Pro Forma'!H$26="",0,'Pro Forma'!H$26-(IF(Assumptions!$C$37=1,(((Assumptions!$C$15*(1-0.05))*(Assumptions!$C$38-0.05))*Assumptions!$C$40),IF(Assumptions!$C$37=2,(-PMT(Assumptions!$C$40/12,Assumptions!$C$42*12,((Assumptions!$C$15*(1-0.05))*(Assumptions!$C$38-0.05)))*12),IF(5&lt;=Assumptions!$C$41,(((Assumptions!$C$15*(1-0.05))*(Assumptions!$C$38-0.05))*Assumptions!$C$40),(-PMT(Assumptions!$C$40/12,Assumptions!$C$42*12,((Assumptions!$C$15*(1-0.05))*(Assumptions!$C$38-0.05)))*12)))))-Assumptions!$C$58-IF(Assumptions!$C$28=1,IF(5=1,Assumptions!$C$26,0),Assumptions!$C$26/Assumptions!$H$15)-Assumptions!$C$33)+IF(5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$38-0.05)),IF(Assumptions!$C$37=2,(-FV(Assumptions!$C$40/12,Assumptions!$H$15*12,PMT(Assumptions!$C$40/12,Assumptions!$C$42*12,((Assumptions!$C$15*(1-0.05))*(Assumptions!$C$38-0.05))),((Assumptions!$C$15*(1-0.05))*(Assumptions!$C$38-0.05)))),(-FV(Assumptions!$C$40/12,MAX(0,Assumptions!$H$15-Assumptions!$C$41)*12,PMT(Assumptions!$C$40/12,Assumptions!$C$42*12,((Assumptions!$C$15*(1-0.05))*(Assumptions!$C$38-0.05))),((Assumptions!$C$15*(1-0.05)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I66" s="98" t="n">
        <f aca="false">IF(6&gt;Assumptions!$H$15,0,IF('Pro Forma'!I$26="",0,'Pro Forma'!I$26-(IF(Assumptions!$C$37=1,(((Assumptions!$C$15*(1-0.05))*(Assumptions!$C$38-0.05))*Assumptions!$C$40),IF(Assumptions!$C$37=2,(-PMT(Assumptions!$C$40/12,Assumptions!$C$42*12,((Assumptions!$C$15*(1-0.05))*(Assumptions!$C$38-0.05)))*12),IF(6&lt;=Assumptions!$C$41,(((Assumptions!$C$15*(1-0.05))*(Assumptions!$C$38-0.05))*Assumptions!$C$40),(-PMT(Assumptions!$C$40/12,Assumptions!$C$42*12,((Assumptions!$C$15*(1-0.05))*(Assumptions!$C$38-0.05)))*12)))))-Assumptions!$C$58-IF(Assumptions!$C$28=1,IF(6=1,Assumptions!$C$26,0),Assumptions!$C$26/Assumptions!$H$15)-Assumptions!$C$33)+IF(6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$38-0.05)),IF(Assumptions!$C$37=2,(-FV(Assumptions!$C$40/12,Assumptions!$H$15*12,PMT(Assumptions!$C$40/12,Assumptions!$C$42*12,((Assumptions!$C$15*(1-0.05))*(Assumptions!$C$38-0.05))),((Assumptions!$C$15*(1-0.05))*(Assumptions!$C$38-0.05)))),(-FV(Assumptions!$C$40/12,MAX(0,Assumptions!$H$15-Assumptions!$C$41)*12,PMT(Assumptions!$C$40/12,Assumptions!$C$42*12,((Assumptions!$C$15*(1-0.05))*(Assumptions!$C$38-0.05))),((Assumptions!$C$15*(1-0.05)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J66" s="98" t="n">
        <f aca="false">IF(7&gt;Assumptions!$H$15,0,IF('Pro Forma'!J$26="",0,'Pro Forma'!J$26-(IF(Assumptions!$C$37=1,(((Assumptions!$C$15*(1-0.05))*(Assumptions!$C$38-0.05))*Assumptions!$C$40),IF(Assumptions!$C$37=2,(-PMT(Assumptions!$C$40/12,Assumptions!$C$42*12,((Assumptions!$C$15*(1-0.05))*(Assumptions!$C$38-0.05)))*12),IF(7&lt;=Assumptions!$C$41,(((Assumptions!$C$15*(1-0.05))*(Assumptions!$C$38-0.05))*Assumptions!$C$40),(-PMT(Assumptions!$C$40/12,Assumptions!$C$42*12,((Assumptions!$C$15*(1-0.05))*(Assumptions!$C$38-0.05)))*12)))))-Assumptions!$C$58-IF(Assumptions!$C$28=1,IF(7=1,Assumptions!$C$26,0),Assumptions!$C$26/Assumptions!$H$15)-Assumptions!$C$33)+IF(7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$38-0.05)),IF(Assumptions!$C$37=2,(-FV(Assumptions!$C$40/12,Assumptions!$H$15*12,PMT(Assumptions!$C$40/12,Assumptions!$C$42*12,((Assumptions!$C$15*(1-0.05))*(Assumptions!$C$38-0.05))),((Assumptions!$C$15*(1-0.05))*(Assumptions!$C$38-0.05)))),(-FV(Assumptions!$C$40/12,MAX(0,Assumptions!$H$15-Assumptions!$C$41)*12,PMT(Assumptions!$C$40/12,Assumptions!$C$42*12,((Assumptions!$C$15*(1-0.05))*(Assumptions!$C$38-0.05))),((Assumptions!$C$15*(1-0.05)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K66" s="98" t="n">
        <f aca="false">IF(8&gt;Assumptions!$H$15,0,IF('Pro Forma'!K$26="",0,'Pro Forma'!K$26-(IF(Assumptions!$C$37=1,(((Assumptions!$C$15*(1-0.05))*(Assumptions!$C$38-0.05))*Assumptions!$C$40),IF(Assumptions!$C$37=2,(-PMT(Assumptions!$C$40/12,Assumptions!$C$42*12,((Assumptions!$C$15*(1-0.05))*(Assumptions!$C$38-0.05)))*12),IF(8&lt;=Assumptions!$C$41,(((Assumptions!$C$15*(1-0.05))*(Assumptions!$C$38-0.05))*Assumptions!$C$40),(-PMT(Assumptions!$C$40/12,Assumptions!$C$42*12,((Assumptions!$C$15*(1-0.05))*(Assumptions!$C$38-0.05)))*12)))))-Assumptions!$C$58-IF(Assumptions!$C$28=1,IF(8=1,Assumptions!$C$26,0),Assumptions!$C$26/Assumptions!$H$15)-Assumptions!$C$33)+IF(8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$38-0.05)),IF(Assumptions!$C$37=2,(-FV(Assumptions!$C$40/12,Assumptions!$H$15*12,PMT(Assumptions!$C$40/12,Assumptions!$C$42*12,((Assumptions!$C$15*(1-0.05))*(Assumptions!$C$38-0.05))),((Assumptions!$C$15*(1-0.05))*(Assumptions!$C$38-0.05)))),(-FV(Assumptions!$C$40/12,MAX(0,Assumptions!$H$15-Assumptions!$C$41)*12,PMT(Assumptions!$C$40/12,Assumptions!$C$42*12,((Assumptions!$C$15*(1-0.05))*(Assumptions!$C$38-0.05))),((Assumptions!$C$15*(1-0.05)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L66" s="98" t="n">
        <f aca="false">IF(9&gt;Assumptions!$H$15,0,IF('Pro Forma'!L$26="",0,'Pro Forma'!L$26-(IF(Assumptions!$C$37=1,(((Assumptions!$C$15*(1-0.05))*(Assumptions!$C$38-0.05))*Assumptions!$C$40),IF(Assumptions!$C$37=2,(-PMT(Assumptions!$C$40/12,Assumptions!$C$42*12,((Assumptions!$C$15*(1-0.05))*(Assumptions!$C$38-0.05)))*12),IF(9&lt;=Assumptions!$C$41,(((Assumptions!$C$15*(1-0.05))*(Assumptions!$C$38-0.05))*Assumptions!$C$40),(-PMT(Assumptions!$C$40/12,Assumptions!$C$42*12,((Assumptions!$C$15*(1-0.05))*(Assumptions!$C$38-0.05)))*12)))))-Assumptions!$C$58-IF(Assumptions!$C$28=1,IF(9=1,Assumptions!$C$26,0),Assumptions!$C$26/Assumptions!$H$15)-Assumptions!$C$33)+IF(9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$38-0.05)),IF(Assumptions!$C$37=2,(-FV(Assumptions!$C$40/12,Assumptions!$H$15*12,PMT(Assumptions!$C$40/12,Assumptions!$C$42*12,((Assumptions!$C$15*(1-0.05))*(Assumptions!$C$38-0.05))),((Assumptions!$C$15*(1-0.05))*(Assumptions!$C$38-0.05)))),(-FV(Assumptions!$C$40/12,MAX(0,Assumptions!$H$15-Assumptions!$C$41)*12,PMT(Assumptions!$C$40/12,Assumptions!$C$42*12,((Assumptions!$C$15*(1-0.05))*(Assumptions!$C$38-0.05))),((Assumptions!$C$15*(1-0.05)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M66" s="98" t="n">
        <f aca="false">IF(10&gt;Assumptions!$H$15,0,IF('Pro Forma'!M$26="",0,'Pro Forma'!M$26-(IF(Assumptions!$C$37=1,(((Assumptions!$C$15*(1-0.05))*(Assumptions!$C$38-0.05))*Assumptions!$C$40),IF(Assumptions!$C$37=2,(-PMT(Assumptions!$C$40/12,Assumptions!$C$42*12,((Assumptions!$C$15*(1-0.05))*(Assumptions!$C$38-0.05)))*12),IF(10&lt;=Assumptions!$C$41,(((Assumptions!$C$15*(1-0.05))*(Assumptions!$C$38-0.05))*Assumptions!$C$40),(-PMT(Assumptions!$C$40/12,Assumptions!$C$42*12,((Assumptions!$C$15*(1-0.05))*(Assumptions!$C$38-0.05)))*12)))))-Assumptions!$C$58-IF(Assumptions!$C$28=1,IF(10=1,Assumptions!$C$26,0),Assumptions!$C$26/Assumptions!$H$15)-Assumptions!$C$33)+IF(10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$38-0.05)),IF(Assumptions!$C$37=2,(-FV(Assumptions!$C$40/12,Assumptions!$H$15*12,PMT(Assumptions!$C$40/12,Assumptions!$C$42*12,((Assumptions!$C$15*(1-0.05))*(Assumptions!$C$38-0.05))),((Assumptions!$C$15*(1-0.05))*(Assumptions!$C$38-0.05)))),(-FV(Assumptions!$C$40/12,MAX(0,Assumptions!$H$15-Assumptions!$C$41)*12,PMT(Assumptions!$C$40/12,Assumptions!$C$42*12,((Assumptions!$C$15*(1-0.05))*(Assumptions!$C$38-0.05))),((Assumptions!$C$15*(1-0.05)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N66" s="99" t="n">
        <f aca="false">IFERROR(IRR(C66:M66),0)</f>
        <v>0</v>
      </c>
    </row>
    <row r="67" customFormat="false" ht="15" hidden="false" customHeight="true" outlineLevel="0" collapsed="false">
      <c r="C67" s="98" t="n">
        <f aca="false">-(((Assumptions!$C$15*(1-0.1))*(1+Assumptions!$C$18))-((Assumptions!$C$15*(1-0.1))*(Assumptions!$C$38-0.1)))</f>
        <v>-0</v>
      </c>
      <c r="D67" s="98" t="n">
        <f aca="false">IF(1&gt;Assumptions!$H$15,0,IF('Pro Forma'!D$26="",0,'Pro Forma'!D$26-(IF(Assumptions!$C$37=1,(((Assumptions!$C$15*(1-0.05))*Assumptions!$C$38)*Assumptions!$C$40),IF(Assumptions!$C$37=2,(-PMT(Assumptions!$C$40/12,Assumptions!$C$42*12,((Assumptions!$C$15*(1-0.05))*Assumptions!$C$38))*12),IF(1&lt;=Assumptions!$C$41,(((Assumptions!$C$15*(1-0.05))*Assumptions!$C$38)*Assumptions!$C$40),(-PMT(Assumptions!$C$40/12,Assumptions!$C$42*12,((Assumptions!$C$15*(1-0.05))*Assumptions!$C$38))*12)))))-Assumptions!$C$58-IF(Assumptions!$C$28=1,IF(1=1,Assumptions!$C$26,0),Assumptions!$C$26/Assumptions!$H$15)-Assumptions!$C$33)+IF(1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Assumptions!$C$38),IF(Assumptions!$C$37=2,(-FV(Assumptions!$C$40/12,Assumptions!$H$15*12,PMT(Assumptions!$C$40/12,Assumptions!$C$42*12,((Assumptions!$C$15*(1-0.05))*Assumptions!$C$38)),((Assumptions!$C$15*(1-0.05))*Assumptions!$C$38))),(-FV(Assumptions!$C$40/12,MAX(0,Assumptions!$H$15-Assumptions!$C$41)*12,PMT(Assumptions!$C$40/12,Assumptions!$C$42*12,((Assumptions!$C$15*(1-0.05))*Assumptions!$C$38)),((Assumptions!$C$15*(1-0.05)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E67" s="98" t="n">
        <f aca="false">IF(2&gt;Assumptions!$H$15,0,IF('Pro Forma'!E$26="",0,'Pro Forma'!E$26-(IF(Assumptions!$C$37=1,(((Assumptions!$C$15*(1-0.05))*Assumptions!$C$38)*Assumptions!$C$40),IF(Assumptions!$C$37=2,(-PMT(Assumptions!$C$40/12,Assumptions!$C$42*12,((Assumptions!$C$15*(1-0.05))*Assumptions!$C$38))*12),IF(2&lt;=Assumptions!$C$41,(((Assumptions!$C$15*(1-0.05))*Assumptions!$C$38)*Assumptions!$C$40),(-PMT(Assumptions!$C$40/12,Assumptions!$C$42*12,((Assumptions!$C$15*(1-0.05))*Assumptions!$C$38))*12)))))-Assumptions!$C$58-IF(Assumptions!$C$28=1,IF(2=1,Assumptions!$C$26,0),Assumptions!$C$26/Assumptions!$H$15)-Assumptions!$C$33)+IF(2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Assumptions!$C$38),IF(Assumptions!$C$37=2,(-FV(Assumptions!$C$40/12,Assumptions!$H$15*12,PMT(Assumptions!$C$40/12,Assumptions!$C$42*12,((Assumptions!$C$15*(1-0.05))*Assumptions!$C$38)),((Assumptions!$C$15*(1-0.05))*Assumptions!$C$38))),(-FV(Assumptions!$C$40/12,MAX(0,Assumptions!$H$15-Assumptions!$C$41)*12,PMT(Assumptions!$C$40/12,Assumptions!$C$42*12,((Assumptions!$C$15*(1-0.05))*Assumptions!$C$38)),((Assumptions!$C$15*(1-0.05)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F67" s="98" t="n">
        <f aca="false">IF(3&gt;Assumptions!$H$15,0,IF('Pro Forma'!F$26="",0,'Pro Forma'!F$26-(IF(Assumptions!$C$37=1,(((Assumptions!$C$15*(1-0.05))*Assumptions!$C$38)*Assumptions!$C$40),IF(Assumptions!$C$37=2,(-PMT(Assumptions!$C$40/12,Assumptions!$C$42*12,((Assumptions!$C$15*(1-0.05))*Assumptions!$C$38))*12),IF(3&lt;=Assumptions!$C$41,(((Assumptions!$C$15*(1-0.05))*Assumptions!$C$38)*Assumptions!$C$40),(-PMT(Assumptions!$C$40/12,Assumptions!$C$42*12,((Assumptions!$C$15*(1-0.05))*Assumptions!$C$38))*12)))))-Assumptions!$C$58-IF(Assumptions!$C$28=1,IF(3=1,Assumptions!$C$26,0),Assumptions!$C$26/Assumptions!$H$15)-Assumptions!$C$33)+IF(3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Assumptions!$C$38),IF(Assumptions!$C$37=2,(-FV(Assumptions!$C$40/12,Assumptions!$H$15*12,PMT(Assumptions!$C$40/12,Assumptions!$C$42*12,((Assumptions!$C$15*(1-0.05))*Assumptions!$C$38)),((Assumptions!$C$15*(1-0.05))*Assumptions!$C$38))),(-FV(Assumptions!$C$40/12,MAX(0,Assumptions!$H$15-Assumptions!$C$41)*12,PMT(Assumptions!$C$40/12,Assumptions!$C$42*12,((Assumptions!$C$15*(1-0.05))*Assumptions!$C$38)),((Assumptions!$C$15*(1-0.05)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G67" s="98" t="n">
        <f aca="false">IF(4&gt;Assumptions!$H$15,0,IF('Pro Forma'!G$26="",0,'Pro Forma'!G$26-(IF(Assumptions!$C$37=1,(((Assumptions!$C$15*(1-0.05))*Assumptions!$C$38)*Assumptions!$C$40),IF(Assumptions!$C$37=2,(-PMT(Assumptions!$C$40/12,Assumptions!$C$42*12,((Assumptions!$C$15*(1-0.05))*Assumptions!$C$38))*12),IF(4&lt;=Assumptions!$C$41,(((Assumptions!$C$15*(1-0.05))*Assumptions!$C$38)*Assumptions!$C$40),(-PMT(Assumptions!$C$40/12,Assumptions!$C$42*12,((Assumptions!$C$15*(1-0.05))*Assumptions!$C$38))*12)))))-Assumptions!$C$58-IF(Assumptions!$C$28=1,IF(4=1,Assumptions!$C$26,0),Assumptions!$C$26/Assumptions!$H$15)-Assumptions!$C$33)+IF(4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Assumptions!$C$38),IF(Assumptions!$C$37=2,(-FV(Assumptions!$C$40/12,Assumptions!$H$15*12,PMT(Assumptions!$C$40/12,Assumptions!$C$42*12,((Assumptions!$C$15*(1-0.05))*Assumptions!$C$38)),((Assumptions!$C$15*(1-0.05))*Assumptions!$C$38))),(-FV(Assumptions!$C$40/12,MAX(0,Assumptions!$H$15-Assumptions!$C$41)*12,PMT(Assumptions!$C$40/12,Assumptions!$C$42*12,((Assumptions!$C$15*(1-0.05))*Assumptions!$C$38)),((Assumptions!$C$15*(1-0.05)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H67" s="98" t="n">
        <f aca="false">IF(5&gt;Assumptions!$H$15,0,IF('Pro Forma'!H$26="",0,'Pro Forma'!H$26-(IF(Assumptions!$C$37=1,(((Assumptions!$C$15*(1-0.05))*Assumptions!$C$38)*Assumptions!$C$40),IF(Assumptions!$C$37=2,(-PMT(Assumptions!$C$40/12,Assumptions!$C$42*12,((Assumptions!$C$15*(1-0.05))*Assumptions!$C$38))*12),IF(5&lt;=Assumptions!$C$41,(((Assumptions!$C$15*(1-0.05))*Assumptions!$C$38)*Assumptions!$C$40),(-PMT(Assumptions!$C$40/12,Assumptions!$C$42*12,((Assumptions!$C$15*(1-0.05))*Assumptions!$C$38))*12)))))-Assumptions!$C$58-IF(Assumptions!$C$28=1,IF(5=1,Assumptions!$C$26,0),Assumptions!$C$26/Assumptions!$H$15)-Assumptions!$C$33)+IF(5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Assumptions!$C$38),IF(Assumptions!$C$37=2,(-FV(Assumptions!$C$40/12,Assumptions!$H$15*12,PMT(Assumptions!$C$40/12,Assumptions!$C$42*12,((Assumptions!$C$15*(1-0.05))*Assumptions!$C$38)),((Assumptions!$C$15*(1-0.05))*Assumptions!$C$38))),(-FV(Assumptions!$C$40/12,MAX(0,Assumptions!$H$15-Assumptions!$C$41)*12,PMT(Assumptions!$C$40/12,Assumptions!$C$42*12,((Assumptions!$C$15*(1-0.05))*Assumptions!$C$38)),((Assumptions!$C$15*(1-0.05)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I67" s="98" t="n">
        <f aca="false">IF(6&gt;Assumptions!$H$15,0,IF('Pro Forma'!I$26="",0,'Pro Forma'!I$26-(IF(Assumptions!$C$37=1,(((Assumptions!$C$15*(1-0.05))*Assumptions!$C$38)*Assumptions!$C$40),IF(Assumptions!$C$37=2,(-PMT(Assumptions!$C$40/12,Assumptions!$C$42*12,((Assumptions!$C$15*(1-0.05))*Assumptions!$C$38))*12),IF(6&lt;=Assumptions!$C$41,(((Assumptions!$C$15*(1-0.05))*Assumptions!$C$38)*Assumptions!$C$40),(-PMT(Assumptions!$C$40/12,Assumptions!$C$42*12,((Assumptions!$C$15*(1-0.05))*Assumptions!$C$38))*12)))))-Assumptions!$C$58-IF(Assumptions!$C$28=1,IF(6=1,Assumptions!$C$26,0),Assumptions!$C$26/Assumptions!$H$15)-Assumptions!$C$33)+IF(6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Assumptions!$C$38),IF(Assumptions!$C$37=2,(-FV(Assumptions!$C$40/12,Assumptions!$H$15*12,PMT(Assumptions!$C$40/12,Assumptions!$C$42*12,((Assumptions!$C$15*(1-0.05))*Assumptions!$C$38)),((Assumptions!$C$15*(1-0.05))*Assumptions!$C$38))),(-FV(Assumptions!$C$40/12,MAX(0,Assumptions!$H$15-Assumptions!$C$41)*12,PMT(Assumptions!$C$40/12,Assumptions!$C$42*12,((Assumptions!$C$15*(1-0.05))*Assumptions!$C$38)),((Assumptions!$C$15*(1-0.05)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J67" s="98" t="n">
        <f aca="false">IF(7&gt;Assumptions!$H$15,0,IF('Pro Forma'!J$26="",0,'Pro Forma'!J$26-(IF(Assumptions!$C$37=1,(((Assumptions!$C$15*(1-0.05))*Assumptions!$C$38)*Assumptions!$C$40),IF(Assumptions!$C$37=2,(-PMT(Assumptions!$C$40/12,Assumptions!$C$42*12,((Assumptions!$C$15*(1-0.05))*Assumptions!$C$38))*12),IF(7&lt;=Assumptions!$C$41,(((Assumptions!$C$15*(1-0.05))*Assumptions!$C$38)*Assumptions!$C$40),(-PMT(Assumptions!$C$40/12,Assumptions!$C$42*12,((Assumptions!$C$15*(1-0.05))*Assumptions!$C$38))*12)))))-Assumptions!$C$58-IF(Assumptions!$C$28=1,IF(7=1,Assumptions!$C$26,0),Assumptions!$C$26/Assumptions!$H$15)-Assumptions!$C$33)+IF(7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Assumptions!$C$38),IF(Assumptions!$C$37=2,(-FV(Assumptions!$C$40/12,Assumptions!$H$15*12,PMT(Assumptions!$C$40/12,Assumptions!$C$42*12,((Assumptions!$C$15*(1-0.05))*Assumptions!$C$38)),((Assumptions!$C$15*(1-0.05))*Assumptions!$C$38))),(-FV(Assumptions!$C$40/12,MAX(0,Assumptions!$H$15-Assumptions!$C$41)*12,PMT(Assumptions!$C$40/12,Assumptions!$C$42*12,((Assumptions!$C$15*(1-0.05))*Assumptions!$C$38)),((Assumptions!$C$15*(1-0.05)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K67" s="98" t="n">
        <f aca="false">IF(8&gt;Assumptions!$H$15,0,IF('Pro Forma'!K$26="",0,'Pro Forma'!K$26-(IF(Assumptions!$C$37=1,(((Assumptions!$C$15*(1-0.05))*Assumptions!$C$38)*Assumptions!$C$40),IF(Assumptions!$C$37=2,(-PMT(Assumptions!$C$40/12,Assumptions!$C$42*12,((Assumptions!$C$15*(1-0.05))*Assumptions!$C$38))*12),IF(8&lt;=Assumptions!$C$41,(((Assumptions!$C$15*(1-0.05))*Assumptions!$C$38)*Assumptions!$C$40),(-PMT(Assumptions!$C$40/12,Assumptions!$C$42*12,((Assumptions!$C$15*(1-0.05))*Assumptions!$C$38))*12)))))-Assumptions!$C$58-IF(Assumptions!$C$28=1,IF(8=1,Assumptions!$C$26,0),Assumptions!$C$26/Assumptions!$H$15)-Assumptions!$C$33)+IF(8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Assumptions!$C$38),IF(Assumptions!$C$37=2,(-FV(Assumptions!$C$40/12,Assumptions!$H$15*12,PMT(Assumptions!$C$40/12,Assumptions!$C$42*12,((Assumptions!$C$15*(1-0.05))*Assumptions!$C$38)),((Assumptions!$C$15*(1-0.05))*Assumptions!$C$38))),(-FV(Assumptions!$C$40/12,MAX(0,Assumptions!$H$15-Assumptions!$C$41)*12,PMT(Assumptions!$C$40/12,Assumptions!$C$42*12,((Assumptions!$C$15*(1-0.05))*Assumptions!$C$38)),((Assumptions!$C$15*(1-0.05)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L67" s="98" t="n">
        <f aca="false">IF(9&gt;Assumptions!$H$15,0,IF('Pro Forma'!L$26="",0,'Pro Forma'!L$26-(IF(Assumptions!$C$37=1,(((Assumptions!$C$15*(1-0.05))*Assumptions!$C$38)*Assumptions!$C$40),IF(Assumptions!$C$37=2,(-PMT(Assumptions!$C$40/12,Assumptions!$C$42*12,((Assumptions!$C$15*(1-0.05))*Assumptions!$C$38))*12),IF(9&lt;=Assumptions!$C$41,(((Assumptions!$C$15*(1-0.05))*Assumptions!$C$38)*Assumptions!$C$40),(-PMT(Assumptions!$C$40/12,Assumptions!$C$42*12,((Assumptions!$C$15*(1-0.05))*Assumptions!$C$38))*12)))))-Assumptions!$C$58-IF(Assumptions!$C$28=1,IF(9=1,Assumptions!$C$26,0),Assumptions!$C$26/Assumptions!$H$15)-Assumptions!$C$33)+IF(9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Assumptions!$C$38),IF(Assumptions!$C$37=2,(-FV(Assumptions!$C$40/12,Assumptions!$H$15*12,PMT(Assumptions!$C$40/12,Assumptions!$C$42*12,((Assumptions!$C$15*(1-0.05))*Assumptions!$C$38)),((Assumptions!$C$15*(1-0.05))*Assumptions!$C$38))),(-FV(Assumptions!$C$40/12,MAX(0,Assumptions!$H$15-Assumptions!$C$41)*12,PMT(Assumptions!$C$40/12,Assumptions!$C$42*12,((Assumptions!$C$15*(1-0.05))*Assumptions!$C$38)),((Assumptions!$C$15*(1-0.05)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M67" s="98" t="n">
        <f aca="false">IF(10&gt;Assumptions!$H$15,0,IF('Pro Forma'!M$26="",0,'Pro Forma'!M$26-(IF(Assumptions!$C$37=1,(((Assumptions!$C$15*(1-0.05))*Assumptions!$C$38)*Assumptions!$C$40),IF(Assumptions!$C$37=2,(-PMT(Assumptions!$C$40/12,Assumptions!$C$42*12,((Assumptions!$C$15*(1-0.05))*Assumptions!$C$38))*12),IF(10&lt;=Assumptions!$C$41,(((Assumptions!$C$15*(1-0.05))*Assumptions!$C$38)*Assumptions!$C$40),(-PMT(Assumptions!$C$40/12,Assumptions!$C$42*12,((Assumptions!$C$15*(1-0.05))*Assumptions!$C$38))*12)))))-Assumptions!$C$58-IF(Assumptions!$C$28=1,IF(10=1,Assumptions!$C$26,0),Assumptions!$C$26/Assumptions!$H$15)-Assumptions!$C$33)+IF(10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Assumptions!$C$38),IF(Assumptions!$C$37=2,(-FV(Assumptions!$C$40/12,Assumptions!$H$15*12,PMT(Assumptions!$C$40/12,Assumptions!$C$42*12,((Assumptions!$C$15*(1-0.05))*Assumptions!$C$38)),((Assumptions!$C$15*(1-0.05))*Assumptions!$C$38))),(-FV(Assumptions!$C$40/12,MAX(0,Assumptions!$H$15-Assumptions!$C$41)*12,PMT(Assumptions!$C$40/12,Assumptions!$C$42*12,((Assumptions!$C$15*(1-0.05))*Assumptions!$C$38)),((Assumptions!$C$15*(1-0.05)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N67" s="99" t="n">
        <f aca="false">IFERROR(IRR(C67:M67),0)</f>
        <v>0</v>
      </c>
    </row>
    <row r="68" customFormat="false" ht="15" hidden="false" customHeight="true" outlineLevel="0" collapsed="false">
      <c r="C68" s="98" t="n">
        <f aca="false">-(((Assumptions!$C$15*(1-0.1))*(1+Assumptions!$C$18))-((Assumptions!$C$15*(1-0.1))*(Assumptions!$C$38-0.1)))</f>
        <v>-0</v>
      </c>
      <c r="D68" s="98" t="n">
        <f aca="false">IF(1&gt;Assumptions!$H$15,0,IF('Pro Forma'!D$26="",0,'Pro Forma'!D$26-(IF(Assumptions!$C$37=1,(((Assumptions!$C$15*(1-0.05))*(Assumptions!$C$38+0.05))*Assumptions!$C$40),IF(Assumptions!$C$37=2,(-PMT(Assumptions!$C$40/12,Assumptions!$C$42*12,((Assumptions!$C$15*(1-0.05))*(Assumptions!$C$38+0.05)))*12),IF(1&lt;=Assumptions!$C$41,(((Assumptions!$C$15*(1-0.05))*(Assumptions!$C$38+0.05))*Assumptions!$C$40),(-PMT(Assumptions!$C$40/12,Assumptions!$C$42*12,((Assumptions!$C$15*(1-0.05))*(Assumptions!$C$38+0.05)))*12)))))-Assumptions!$C$58-IF(Assumptions!$C$28=1,IF(1=1,Assumptions!$C$26,0),Assumptions!$C$26/Assumptions!$H$15)-Assumptions!$C$33)+IF(1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+0.05)),IF(Assumptions!$C$37=2,(-FV(Assumptions!$C$40/12,Assumptions!$H$15*12,PMT(Assumptions!$C$40/12,Assumptions!$C$42*12,((Assumptions!$C$15*(1-0.05))*(Assumptions!$C$38+0.05))),((Assumptions!$C$15*(1-0.05))*(Assumptions!$C$38+0.05)))),(-FV(Assumptions!$C$40/12,MAX(0,Assumptions!$H$15-Assumptions!$C$41)*12,PMT(Assumptions!$C$40/12,Assumptions!$C$42*12,((Assumptions!$C$15*(1-0.05))*(Assumptions!$C$38+0.05))),((Assumptions!$C$15*(1-0.05)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E68" s="98" t="n">
        <f aca="false">IF(2&gt;Assumptions!$H$15,0,IF('Pro Forma'!E$26="",0,'Pro Forma'!E$26-(IF(Assumptions!$C$37=1,(((Assumptions!$C$15*(1-0.05))*(Assumptions!$C$38+0.05))*Assumptions!$C$40),IF(Assumptions!$C$37=2,(-PMT(Assumptions!$C$40/12,Assumptions!$C$42*12,((Assumptions!$C$15*(1-0.05))*(Assumptions!$C$38+0.05)))*12),IF(2&lt;=Assumptions!$C$41,(((Assumptions!$C$15*(1-0.05))*(Assumptions!$C$38+0.05))*Assumptions!$C$40),(-PMT(Assumptions!$C$40/12,Assumptions!$C$42*12,((Assumptions!$C$15*(1-0.05))*(Assumptions!$C$38+0.05)))*12)))))-Assumptions!$C$58-IF(Assumptions!$C$28=1,IF(2=1,Assumptions!$C$26,0),Assumptions!$C$26/Assumptions!$H$15)-Assumptions!$C$33)+IF(2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+0.05)),IF(Assumptions!$C$37=2,(-FV(Assumptions!$C$40/12,Assumptions!$H$15*12,PMT(Assumptions!$C$40/12,Assumptions!$C$42*12,((Assumptions!$C$15*(1-0.05))*(Assumptions!$C$38+0.05))),((Assumptions!$C$15*(1-0.05))*(Assumptions!$C$38+0.05)))),(-FV(Assumptions!$C$40/12,MAX(0,Assumptions!$H$15-Assumptions!$C$41)*12,PMT(Assumptions!$C$40/12,Assumptions!$C$42*12,((Assumptions!$C$15*(1-0.05))*(Assumptions!$C$38+0.05))),((Assumptions!$C$15*(1-0.05)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F68" s="98" t="n">
        <f aca="false">IF(3&gt;Assumptions!$H$15,0,IF('Pro Forma'!F$26="",0,'Pro Forma'!F$26-(IF(Assumptions!$C$37=1,(((Assumptions!$C$15*(1-0.05))*(Assumptions!$C$38+0.05))*Assumptions!$C$40),IF(Assumptions!$C$37=2,(-PMT(Assumptions!$C$40/12,Assumptions!$C$42*12,((Assumptions!$C$15*(1-0.05))*(Assumptions!$C$38+0.05)))*12),IF(3&lt;=Assumptions!$C$41,(((Assumptions!$C$15*(1-0.05))*(Assumptions!$C$38+0.05))*Assumptions!$C$40),(-PMT(Assumptions!$C$40/12,Assumptions!$C$42*12,((Assumptions!$C$15*(1-0.05))*(Assumptions!$C$38+0.05)))*12)))))-Assumptions!$C$58-IF(Assumptions!$C$28=1,IF(3=1,Assumptions!$C$26,0),Assumptions!$C$26/Assumptions!$H$15)-Assumptions!$C$33)+IF(3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+0.05)),IF(Assumptions!$C$37=2,(-FV(Assumptions!$C$40/12,Assumptions!$H$15*12,PMT(Assumptions!$C$40/12,Assumptions!$C$42*12,((Assumptions!$C$15*(1-0.05))*(Assumptions!$C$38+0.05))),((Assumptions!$C$15*(1-0.05))*(Assumptions!$C$38+0.05)))),(-FV(Assumptions!$C$40/12,MAX(0,Assumptions!$H$15-Assumptions!$C$41)*12,PMT(Assumptions!$C$40/12,Assumptions!$C$42*12,((Assumptions!$C$15*(1-0.05))*(Assumptions!$C$38+0.05))),((Assumptions!$C$15*(1-0.05)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G68" s="98" t="n">
        <f aca="false">IF(4&gt;Assumptions!$H$15,0,IF('Pro Forma'!G$26="",0,'Pro Forma'!G$26-(IF(Assumptions!$C$37=1,(((Assumptions!$C$15*(1-0.05))*(Assumptions!$C$38+0.05))*Assumptions!$C$40),IF(Assumptions!$C$37=2,(-PMT(Assumptions!$C$40/12,Assumptions!$C$42*12,((Assumptions!$C$15*(1-0.05))*(Assumptions!$C$38+0.05)))*12),IF(4&lt;=Assumptions!$C$41,(((Assumptions!$C$15*(1-0.05))*(Assumptions!$C$38+0.05))*Assumptions!$C$40),(-PMT(Assumptions!$C$40/12,Assumptions!$C$42*12,((Assumptions!$C$15*(1-0.05))*(Assumptions!$C$38+0.05)))*12)))))-Assumptions!$C$58-IF(Assumptions!$C$28=1,IF(4=1,Assumptions!$C$26,0),Assumptions!$C$26/Assumptions!$H$15)-Assumptions!$C$33)+IF(4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+0.05)),IF(Assumptions!$C$37=2,(-FV(Assumptions!$C$40/12,Assumptions!$H$15*12,PMT(Assumptions!$C$40/12,Assumptions!$C$42*12,((Assumptions!$C$15*(1-0.05))*(Assumptions!$C$38+0.05))),((Assumptions!$C$15*(1-0.05))*(Assumptions!$C$38+0.05)))),(-FV(Assumptions!$C$40/12,MAX(0,Assumptions!$H$15-Assumptions!$C$41)*12,PMT(Assumptions!$C$40/12,Assumptions!$C$42*12,((Assumptions!$C$15*(1-0.05))*(Assumptions!$C$38+0.05))),((Assumptions!$C$15*(1-0.05)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H68" s="98" t="n">
        <f aca="false">IF(5&gt;Assumptions!$H$15,0,IF('Pro Forma'!H$26="",0,'Pro Forma'!H$26-(IF(Assumptions!$C$37=1,(((Assumptions!$C$15*(1-0.05))*(Assumptions!$C$38+0.05))*Assumptions!$C$40),IF(Assumptions!$C$37=2,(-PMT(Assumptions!$C$40/12,Assumptions!$C$42*12,((Assumptions!$C$15*(1-0.05))*(Assumptions!$C$38+0.05)))*12),IF(5&lt;=Assumptions!$C$41,(((Assumptions!$C$15*(1-0.05))*(Assumptions!$C$38+0.05))*Assumptions!$C$40),(-PMT(Assumptions!$C$40/12,Assumptions!$C$42*12,((Assumptions!$C$15*(1-0.05))*(Assumptions!$C$38+0.05)))*12)))))-Assumptions!$C$58-IF(Assumptions!$C$28=1,IF(5=1,Assumptions!$C$26,0),Assumptions!$C$26/Assumptions!$H$15)-Assumptions!$C$33)+IF(5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+0.05)),IF(Assumptions!$C$37=2,(-FV(Assumptions!$C$40/12,Assumptions!$H$15*12,PMT(Assumptions!$C$40/12,Assumptions!$C$42*12,((Assumptions!$C$15*(1-0.05))*(Assumptions!$C$38+0.05))),((Assumptions!$C$15*(1-0.05))*(Assumptions!$C$38+0.05)))),(-FV(Assumptions!$C$40/12,MAX(0,Assumptions!$H$15-Assumptions!$C$41)*12,PMT(Assumptions!$C$40/12,Assumptions!$C$42*12,((Assumptions!$C$15*(1-0.05))*(Assumptions!$C$38+0.05))),((Assumptions!$C$15*(1-0.05)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I68" s="98" t="n">
        <f aca="false">IF(6&gt;Assumptions!$H$15,0,IF('Pro Forma'!I$26="",0,'Pro Forma'!I$26-(IF(Assumptions!$C$37=1,(((Assumptions!$C$15*(1-0.05))*(Assumptions!$C$38+0.05))*Assumptions!$C$40),IF(Assumptions!$C$37=2,(-PMT(Assumptions!$C$40/12,Assumptions!$C$42*12,((Assumptions!$C$15*(1-0.05))*(Assumptions!$C$38+0.05)))*12),IF(6&lt;=Assumptions!$C$41,(((Assumptions!$C$15*(1-0.05))*(Assumptions!$C$38+0.05))*Assumptions!$C$40),(-PMT(Assumptions!$C$40/12,Assumptions!$C$42*12,((Assumptions!$C$15*(1-0.05))*(Assumptions!$C$38+0.05)))*12)))))-Assumptions!$C$58-IF(Assumptions!$C$28=1,IF(6=1,Assumptions!$C$26,0),Assumptions!$C$26/Assumptions!$H$15)-Assumptions!$C$33)+IF(6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+0.05)),IF(Assumptions!$C$37=2,(-FV(Assumptions!$C$40/12,Assumptions!$H$15*12,PMT(Assumptions!$C$40/12,Assumptions!$C$42*12,((Assumptions!$C$15*(1-0.05))*(Assumptions!$C$38+0.05))),((Assumptions!$C$15*(1-0.05))*(Assumptions!$C$38+0.05)))),(-FV(Assumptions!$C$40/12,MAX(0,Assumptions!$H$15-Assumptions!$C$41)*12,PMT(Assumptions!$C$40/12,Assumptions!$C$42*12,((Assumptions!$C$15*(1-0.05))*(Assumptions!$C$38+0.05))),((Assumptions!$C$15*(1-0.05)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J68" s="98" t="n">
        <f aca="false">IF(7&gt;Assumptions!$H$15,0,IF('Pro Forma'!J$26="",0,'Pro Forma'!J$26-(IF(Assumptions!$C$37=1,(((Assumptions!$C$15*(1-0.05))*(Assumptions!$C$38+0.05))*Assumptions!$C$40),IF(Assumptions!$C$37=2,(-PMT(Assumptions!$C$40/12,Assumptions!$C$42*12,((Assumptions!$C$15*(1-0.05))*(Assumptions!$C$38+0.05)))*12),IF(7&lt;=Assumptions!$C$41,(((Assumptions!$C$15*(1-0.05))*(Assumptions!$C$38+0.05))*Assumptions!$C$40),(-PMT(Assumptions!$C$40/12,Assumptions!$C$42*12,((Assumptions!$C$15*(1-0.05))*(Assumptions!$C$38+0.05)))*12)))))-Assumptions!$C$58-IF(Assumptions!$C$28=1,IF(7=1,Assumptions!$C$26,0),Assumptions!$C$26/Assumptions!$H$15)-Assumptions!$C$33)+IF(7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+0.05)),IF(Assumptions!$C$37=2,(-FV(Assumptions!$C$40/12,Assumptions!$H$15*12,PMT(Assumptions!$C$40/12,Assumptions!$C$42*12,((Assumptions!$C$15*(1-0.05))*(Assumptions!$C$38+0.05))),((Assumptions!$C$15*(1-0.05))*(Assumptions!$C$38+0.05)))),(-FV(Assumptions!$C$40/12,MAX(0,Assumptions!$H$15-Assumptions!$C$41)*12,PMT(Assumptions!$C$40/12,Assumptions!$C$42*12,((Assumptions!$C$15*(1-0.05))*(Assumptions!$C$38+0.05))),((Assumptions!$C$15*(1-0.05)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K68" s="98" t="n">
        <f aca="false">IF(8&gt;Assumptions!$H$15,0,IF('Pro Forma'!K$26="",0,'Pro Forma'!K$26-(IF(Assumptions!$C$37=1,(((Assumptions!$C$15*(1-0.05))*(Assumptions!$C$38+0.05))*Assumptions!$C$40),IF(Assumptions!$C$37=2,(-PMT(Assumptions!$C$40/12,Assumptions!$C$42*12,((Assumptions!$C$15*(1-0.05))*(Assumptions!$C$38+0.05)))*12),IF(8&lt;=Assumptions!$C$41,(((Assumptions!$C$15*(1-0.05))*(Assumptions!$C$38+0.05))*Assumptions!$C$40),(-PMT(Assumptions!$C$40/12,Assumptions!$C$42*12,((Assumptions!$C$15*(1-0.05))*(Assumptions!$C$38+0.05)))*12)))))-Assumptions!$C$58-IF(Assumptions!$C$28=1,IF(8=1,Assumptions!$C$26,0),Assumptions!$C$26/Assumptions!$H$15)-Assumptions!$C$33)+IF(8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+0.05)),IF(Assumptions!$C$37=2,(-FV(Assumptions!$C$40/12,Assumptions!$H$15*12,PMT(Assumptions!$C$40/12,Assumptions!$C$42*12,((Assumptions!$C$15*(1-0.05))*(Assumptions!$C$38+0.05))),((Assumptions!$C$15*(1-0.05))*(Assumptions!$C$38+0.05)))),(-FV(Assumptions!$C$40/12,MAX(0,Assumptions!$H$15-Assumptions!$C$41)*12,PMT(Assumptions!$C$40/12,Assumptions!$C$42*12,((Assumptions!$C$15*(1-0.05))*(Assumptions!$C$38+0.05))),((Assumptions!$C$15*(1-0.05)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L68" s="98" t="n">
        <f aca="false">IF(9&gt;Assumptions!$H$15,0,IF('Pro Forma'!L$26="",0,'Pro Forma'!L$26-(IF(Assumptions!$C$37=1,(((Assumptions!$C$15*(1-0.05))*(Assumptions!$C$38+0.05))*Assumptions!$C$40),IF(Assumptions!$C$37=2,(-PMT(Assumptions!$C$40/12,Assumptions!$C$42*12,((Assumptions!$C$15*(1-0.05))*(Assumptions!$C$38+0.05)))*12),IF(9&lt;=Assumptions!$C$41,(((Assumptions!$C$15*(1-0.05))*(Assumptions!$C$38+0.05))*Assumptions!$C$40),(-PMT(Assumptions!$C$40/12,Assumptions!$C$42*12,((Assumptions!$C$15*(1-0.05))*(Assumptions!$C$38+0.05)))*12)))))-Assumptions!$C$58-IF(Assumptions!$C$28=1,IF(9=1,Assumptions!$C$26,0),Assumptions!$C$26/Assumptions!$H$15)-Assumptions!$C$33)+IF(9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+0.05)),IF(Assumptions!$C$37=2,(-FV(Assumptions!$C$40/12,Assumptions!$H$15*12,PMT(Assumptions!$C$40/12,Assumptions!$C$42*12,((Assumptions!$C$15*(1-0.05))*(Assumptions!$C$38+0.05))),((Assumptions!$C$15*(1-0.05))*(Assumptions!$C$38+0.05)))),(-FV(Assumptions!$C$40/12,MAX(0,Assumptions!$H$15-Assumptions!$C$41)*12,PMT(Assumptions!$C$40/12,Assumptions!$C$42*12,((Assumptions!$C$15*(1-0.05))*(Assumptions!$C$38+0.05))),((Assumptions!$C$15*(1-0.05)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M68" s="98" t="n">
        <f aca="false">IF(10&gt;Assumptions!$H$15,0,IF('Pro Forma'!M$26="",0,'Pro Forma'!M$26-(IF(Assumptions!$C$37=1,(((Assumptions!$C$15*(1-0.05))*(Assumptions!$C$38+0.05))*Assumptions!$C$40),IF(Assumptions!$C$37=2,(-PMT(Assumptions!$C$40/12,Assumptions!$C$42*12,((Assumptions!$C$15*(1-0.05))*(Assumptions!$C$38+0.05)))*12),IF(10&lt;=Assumptions!$C$41,(((Assumptions!$C$15*(1-0.05))*(Assumptions!$C$38+0.05))*Assumptions!$C$40),(-PMT(Assumptions!$C$40/12,Assumptions!$C$42*12,((Assumptions!$C$15*(1-0.05))*(Assumptions!$C$38+0.05)))*12)))))-Assumptions!$C$58-IF(Assumptions!$C$28=1,IF(10=1,Assumptions!$C$26,0),Assumptions!$C$26/Assumptions!$H$15)-Assumptions!$C$33)+IF(10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+0.05)),IF(Assumptions!$C$37=2,(-FV(Assumptions!$C$40/12,Assumptions!$H$15*12,PMT(Assumptions!$C$40/12,Assumptions!$C$42*12,((Assumptions!$C$15*(1-0.05))*(Assumptions!$C$38+0.05))),((Assumptions!$C$15*(1-0.05))*(Assumptions!$C$38+0.05)))),(-FV(Assumptions!$C$40/12,MAX(0,Assumptions!$H$15-Assumptions!$C$41)*12,PMT(Assumptions!$C$40/12,Assumptions!$C$42*12,((Assumptions!$C$15*(1-0.05))*(Assumptions!$C$38+0.05))),((Assumptions!$C$15*(1-0.05)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N68" s="99" t="n">
        <f aca="false">IFERROR(IRR(C68:M68),0)</f>
        <v>0</v>
      </c>
    </row>
    <row r="69" customFormat="false" ht="15" hidden="false" customHeight="true" outlineLevel="0" collapsed="false">
      <c r="C69" s="98" t="n">
        <f aca="false">-(((Assumptions!$C$15*(1-0.1))*(1+Assumptions!$C$18))-((Assumptions!$C$15*(1-0.1))*(Assumptions!$C$38-0.1)))</f>
        <v>-0</v>
      </c>
      <c r="D69" s="98" t="n">
        <f aca="false">IF(1&gt;Assumptions!$H$15,0,IF('Pro Forma'!D$26="",0,'Pro Forma'!D$26-(IF(Assumptions!$C$37=1,(((Assumptions!$C$15*(1-0.05))*(Assumptions!$C$38+0.1))*Assumptions!$C$40),IF(Assumptions!$C$37=2,(-PMT(Assumptions!$C$40/12,Assumptions!$C$42*12,((Assumptions!$C$15*(1-0.05))*(Assumptions!$C$38+0.1)))*12),IF(1&lt;=Assumptions!$C$41,(((Assumptions!$C$15*(1-0.05))*(Assumptions!$C$38+0.1))*Assumptions!$C$40),(-PMT(Assumptions!$C$40/12,Assumptions!$C$42*12,((Assumptions!$C$15*(1-0.05))*(Assumptions!$C$38+0.1)))*12)))))-Assumptions!$C$58-IF(Assumptions!$C$28=1,IF(1=1,Assumptions!$C$26,0),Assumptions!$C$26/Assumptions!$H$15)-Assumptions!$C$33)+IF(1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+0.1)),IF(Assumptions!$C$37=2,(-FV(Assumptions!$C$40/12,Assumptions!$H$15*12,PMT(Assumptions!$C$40/12,Assumptions!$C$42*12,((Assumptions!$C$15*(1-0.05))*(Assumptions!$C$38+0.1))),((Assumptions!$C$15*(1-0.05))*(Assumptions!$C$38+0.1)))),(-FV(Assumptions!$C$40/12,MAX(0,Assumptions!$H$15-Assumptions!$C$41)*12,PMT(Assumptions!$C$40/12,Assumptions!$C$42*12,((Assumptions!$C$15*(1-0.05))*(Assumptions!$C$38+0.1))),((Assumptions!$C$15*(1-0.05)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E69" s="98" t="n">
        <f aca="false">IF(2&gt;Assumptions!$H$15,0,IF('Pro Forma'!E$26="",0,'Pro Forma'!E$26-(IF(Assumptions!$C$37=1,(((Assumptions!$C$15*(1-0.05))*(Assumptions!$C$38+0.1))*Assumptions!$C$40),IF(Assumptions!$C$37=2,(-PMT(Assumptions!$C$40/12,Assumptions!$C$42*12,((Assumptions!$C$15*(1-0.05))*(Assumptions!$C$38+0.1)))*12),IF(2&lt;=Assumptions!$C$41,(((Assumptions!$C$15*(1-0.05))*(Assumptions!$C$38+0.1))*Assumptions!$C$40),(-PMT(Assumptions!$C$40/12,Assumptions!$C$42*12,((Assumptions!$C$15*(1-0.05))*(Assumptions!$C$38+0.1)))*12)))))-Assumptions!$C$58-IF(Assumptions!$C$28=1,IF(2=1,Assumptions!$C$26,0),Assumptions!$C$26/Assumptions!$H$15)-Assumptions!$C$33)+IF(2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+0.1)),IF(Assumptions!$C$37=2,(-FV(Assumptions!$C$40/12,Assumptions!$H$15*12,PMT(Assumptions!$C$40/12,Assumptions!$C$42*12,((Assumptions!$C$15*(1-0.05))*(Assumptions!$C$38+0.1))),((Assumptions!$C$15*(1-0.05))*(Assumptions!$C$38+0.1)))),(-FV(Assumptions!$C$40/12,MAX(0,Assumptions!$H$15-Assumptions!$C$41)*12,PMT(Assumptions!$C$40/12,Assumptions!$C$42*12,((Assumptions!$C$15*(1-0.05))*(Assumptions!$C$38+0.1))),((Assumptions!$C$15*(1-0.05)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F69" s="98" t="n">
        <f aca="false">IF(3&gt;Assumptions!$H$15,0,IF('Pro Forma'!F$26="",0,'Pro Forma'!F$26-(IF(Assumptions!$C$37=1,(((Assumptions!$C$15*(1-0.05))*(Assumptions!$C$38+0.1))*Assumptions!$C$40),IF(Assumptions!$C$37=2,(-PMT(Assumptions!$C$40/12,Assumptions!$C$42*12,((Assumptions!$C$15*(1-0.05))*(Assumptions!$C$38+0.1)))*12),IF(3&lt;=Assumptions!$C$41,(((Assumptions!$C$15*(1-0.05))*(Assumptions!$C$38+0.1))*Assumptions!$C$40),(-PMT(Assumptions!$C$40/12,Assumptions!$C$42*12,((Assumptions!$C$15*(1-0.05))*(Assumptions!$C$38+0.1)))*12)))))-Assumptions!$C$58-IF(Assumptions!$C$28=1,IF(3=1,Assumptions!$C$26,0),Assumptions!$C$26/Assumptions!$H$15)-Assumptions!$C$33)+IF(3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+0.1)),IF(Assumptions!$C$37=2,(-FV(Assumptions!$C$40/12,Assumptions!$H$15*12,PMT(Assumptions!$C$40/12,Assumptions!$C$42*12,((Assumptions!$C$15*(1-0.05))*(Assumptions!$C$38+0.1))),((Assumptions!$C$15*(1-0.05))*(Assumptions!$C$38+0.1)))),(-FV(Assumptions!$C$40/12,MAX(0,Assumptions!$H$15-Assumptions!$C$41)*12,PMT(Assumptions!$C$40/12,Assumptions!$C$42*12,((Assumptions!$C$15*(1-0.05))*(Assumptions!$C$38+0.1))),((Assumptions!$C$15*(1-0.05)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G69" s="98" t="n">
        <f aca="false">IF(4&gt;Assumptions!$H$15,0,IF('Pro Forma'!G$26="",0,'Pro Forma'!G$26-(IF(Assumptions!$C$37=1,(((Assumptions!$C$15*(1-0.05))*(Assumptions!$C$38+0.1))*Assumptions!$C$40),IF(Assumptions!$C$37=2,(-PMT(Assumptions!$C$40/12,Assumptions!$C$42*12,((Assumptions!$C$15*(1-0.05))*(Assumptions!$C$38+0.1)))*12),IF(4&lt;=Assumptions!$C$41,(((Assumptions!$C$15*(1-0.05))*(Assumptions!$C$38+0.1))*Assumptions!$C$40),(-PMT(Assumptions!$C$40/12,Assumptions!$C$42*12,((Assumptions!$C$15*(1-0.05))*(Assumptions!$C$38+0.1)))*12)))))-Assumptions!$C$58-IF(Assumptions!$C$28=1,IF(4=1,Assumptions!$C$26,0),Assumptions!$C$26/Assumptions!$H$15)-Assumptions!$C$33)+IF(4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+0.1)),IF(Assumptions!$C$37=2,(-FV(Assumptions!$C$40/12,Assumptions!$H$15*12,PMT(Assumptions!$C$40/12,Assumptions!$C$42*12,((Assumptions!$C$15*(1-0.05))*(Assumptions!$C$38+0.1))),((Assumptions!$C$15*(1-0.05))*(Assumptions!$C$38+0.1)))),(-FV(Assumptions!$C$40/12,MAX(0,Assumptions!$H$15-Assumptions!$C$41)*12,PMT(Assumptions!$C$40/12,Assumptions!$C$42*12,((Assumptions!$C$15*(1-0.05))*(Assumptions!$C$38+0.1))),((Assumptions!$C$15*(1-0.05)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H69" s="98" t="n">
        <f aca="false">IF(5&gt;Assumptions!$H$15,0,IF('Pro Forma'!H$26="",0,'Pro Forma'!H$26-(IF(Assumptions!$C$37=1,(((Assumptions!$C$15*(1-0.05))*(Assumptions!$C$38+0.1))*Assumptions!$C$40),IF(Assumptions!$C$37=2,(-PMT(Assumptions!$C$40/12,Assumptions!$C$42*12,((Assumptions!$C$15*(1-0.05))*(Assumptions!$C$38+0.1)))*12),IF(5&lt;=Assumptions!$C$41,(((Assumptions!$C$15*(1-0.05))*(Assumptions!$C$38+0.1))*Assumptions!$C$40),(-PMT(Assumptions!$C$40/12,Assumptions!$C$42*12,((Assumptions!$C$15*(1-0.05))*(Assumptions!$C$38+0.1)))*12)))))-Assumptions!$C$58-IF(Assumptions!$C$28=1,IF(5=1,Assumptions!$C$26,0),Assumptions!$C$26/Assumptions!$H$15)-Assumptions!$C$33)+IF(5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+0.1)),IF(Assumptions!$C$37=2,(-FV(Assumptions!$C$40/12,Assumptions!$H$15*12,PMT(Assumptions!$C$40/12,Assumptions!$C$42*12,((Assumptions!$C$15*(1-0.05))*(Assumptions!$C$38+0.1))),((Assumptions!$C$15*(1-0.05))*(Assumptions!$C$38+0.1)))),(-FV(Assumptions!$C$40/12,MAX(0,Assumptions!$H$15-Assumptions!$C$41)*12,PMT(Assumptions!$C$40/12,Assumptions!$C$42*12,((Assumptions!$C$15*(1-0.05))*(Assumptions!$C$38+0.1))),((Assumptions!$C$15*(1-0.05)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I69" s="98" t="n">
        <f aca="false">IF(6&gt;Assumptions!$H$15,0,IF('Pro Forma'!I$26="",0,'Pro Forma'!I$26-(IF(Assumptions!$C$37=1,(((Assumptions!$C$15*(1-0.05))*(Assumptions!$C$38+0.1))*Assumptions!$C$40),IF(Assumptions!$C$37=2,(-PMT(Assumptions!$C$40/12,Assumptions!$C$42*12,((Assumptions!$C$15*(1-0.05))*(Assumptions!$C$38+0.1)))*12),IF(6&lt;=Assumptions!$C$41,(((Assumptions!$C$15*(1-0.05))*(Assumptions!$C$38+0.1))*Assumptions!$C$40),(-PMT(Assumptions!$C$40/12,Assumptions!$C$42*12,((Assumptions!$C$15*(1-0.05))*(Assumptions!$C$38+0.1)))*12)))))-Assumptions!$C$58-IF(Assumptions!$C$28=1,IF(6=1,Assumptions!$C$26,0),Assumptions!$C$26/Assumptions!$H$15)-Assumptions!$C$33)+IF(6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+0.1)),IF(Assumptions!$C$37=2,(-FV(Assumptions!$C$40/12,Assumptions!$H$15*12,PMT(Assumptions!$C$40/12,Assumptions!$C$42*12,((Assumptions!$C$15*(1-0.05))*(Assumptions!$C$38+0.1))),((Assumptions!$C$15*(1-0.05))*(Assumptions!$C$38+0.1)))),(-FV(Assumptions!$C$40/12,MAX(0,Assumptions!$H$15-Assumptions!$C$41)*12,PMT(Assumptions!$C$40/12,Assumptions!$C$42*12,((Assumptions!$C$15*(1-0.05))*(Assumptions!$C$38+0.1))),((Assumptions!$C$15*(1-0.05)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J69" s="98" t="n">
        <f aca="false">IF(7&gt;Assumptions!$H$15,0,IF('Pro Forma'!J$26="",0,'Pro Forma'!J$26-(IF(Assumptions!$C$37=1,(((Assumptions!$C$15*(1-0.05))*(Assumptions!$C$38+0.1))*Assumptions!$C$40),IF(Assumptions!$C$37=2,(-PMT(Assumptions!$C$40/12,Assumptions!$C$42*12,((Assumptions!$C$15*(1-0.05))*(Assumptions!$C$38+0.1)))*12),IF(7&lt;=Assumptions!$C$41,(((Assumptions!$C$15*(1-0.05))*(Assumptions!$C$38+0.1))*Assumptions!$C$40),(-PMT(Assumptions!$C$40/12,Assumptions!$C$42*12,((Assumptions!$C$15*(1-0.05))*(Assumptions!$C$38+0.1)))*12)))))-Assumptions!$C$58-IF(Assumptions!$C$28=1,IF(7=1,Assumptions!$C$26,0),Assumptions!$C$26/Assumptions!$H$15)-Assumptions!$C$33)+IF(7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+0.1)),IF(Assumptions!$C$37=2,(-FV(Assumptions!$C$40/12,Assumptions!$H$15*12,PMT(Assumptions!$C$40/12,Assumptions!$C$42*12,((Assumptions!$C$15*(1-0.05))*(Assumptions!$C$38+0.1))),((Assumptions!$C$15*(1-0.05))*(Assumptions!$C$38+0.1)))),(-FV(Assumptions!$C$40/12,MAX(0,Assumptions!$H$15-Assumptions!$C$41)*12,PMT(Assumptions!$C$40/12,Assumptions!$C$42*12,((Assumptions!$C$15*(1-0.05))*(Assumptions!$C$38+0.1))),((Assumptions!$C$15*(1-0.05)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K69" s="98" t="n">
        <f aca="false">IF(8&gt;Assumptions!$H$15,0,IF('Pro Forma'!K$26="",0,'Pro Forma'!K$26-(IF(Assumptions!$C$37=1,(((Assumptions!$C$15*(1-0.05))*(Assumptions!$C$38+0.1))*Assumptions!$C$40),IF(Assumptions!$C$37=2,(-PMT(Assumptions!$C$40/12,Assumptions!$C$42*12,((Assumptions!$C$15*(1-0.05))*(Assumptions!$C$38+0.1)))*12),IF(8&lt;=Assumptions!$C$41,(((Assumptions!$C$15*(1-0.05))*(Assumptions!$C$38+0.1))*Assumptions!$C$40),(-PMT(Assumptions!$C$40/12,Assumptions!$C$42*12,((Assumptions!$C$15*(1-0.05))*(Assumptions!$C$38+0.1)))*12)))))-Assumptions!$C$58-IF(Assumptions!$C$28=1,IF(8=1,Assumptions!$C$26,0),Assumptions!$C$26/Assumptions!$H$15)-Assumptions!$C$33)+IF(8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+0.1)),IF(Assumptions!$C$37=2,(-FV(Assumptions!$C$40/12,Assumptions!$H$15*12,PMT(Assumptions!$C$40/12,Assumptions!$C$42*12,((Assumptions!$C$15*(1-0.05))*(Assumptions!$C$38+0.1))),((Assumptions!$C$15*(1-0.05))*(Assumptions!$C$38+0.1)))),(-FV(Assumptions!$C$40/12,MAX(0,Assumptions!$H$15-Assumptions!$C$41)*12,PMT(Assumptions!$C$40/12,Assumptions!$C$42*12,((Assumptions!$C$15*(1-0.05))*(Assumptions!$C$38+0.1))),((Assumptions!$C$15*(1-0.05)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L69" s="98" t="n">
        <f aca="false">IF(9&gt;Assumptions!$H$15,0,IF('Pro Forma'!L$26="",0,'Pro Forma'!L$26-(IF(Assumptions!$C$37=1,(((Assumptions!$C$15*(1-0.05))*(Assumptions!$C$38+0.1))*Assumptions!$C$40),IF(Assumptions!$C$37=2,(-PMT(Assumptions!$C$40/12,Assumptions!$C$42*12,((Assumptions!$C$15*(1-0.05))*(Assumptions!$C$38+0.1)))*12),IF(9&lt;=Assumptions!$C$41,(((Assumptions!$C$15*(1-0.05))*(Assumptions!$C$38+0.1))*Assumptions!$C$40),(-PMT(Assumptions!$C$40/12,Assumptions!$C$42*12,((Assumptions!$C$15*(1-0.05))*(Assumptions!$C$38+0.1)))*12)))))-Assumptions!$C$58-IF(Assumptions!$C$28=1,IF(9=1,Assumptions!$C$26,0),Assumptions!$C$26/Assumptions!$H$15)-Assumptions!$C$33)+IF(9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+0.1)),IF(Assumptions!$C$37=2,(-FV(Assumptions!$C$40/12,Assumptions!$H$15*12,PMT(Assumptions!$C$40/12,Assumptions!$C$42*12,((Assumptions!$C$15*(1-0.05))*(Assumptions!$C$38+0.1))),((Assumptions!$C$15*(1-0.05))*(Assumptions!$C$38+0.1)))),(-FV(Assumptions!$C$40/12,MAX(0,Assumptions!$H$15-Assumptions!$C$41)*12,PMT(Assumptions!$C$40/12,Assumptions!$C$42*12,((Assumptions!$C$15*(1-0.05))*(Assumptions!$C$38+0.1))),((Assumptions!$C$15*(1-0.05)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M69" s="98" t="n">
        <f aca="false">IF(10&gt;Assumptions!$H$15,0,IF('Pro Forma'!M$26="",0,'Pro Forma'!M$26-(IF(Assumptions!$C$37=1,(((Assumptions!$C$15*(1-0.05))*(Assumptions!$C$38+0.1))*Assumptions!$C$40),IF(Assumptions!$C$37=2,(-PMT(Assumptions!$C$40/12,Assumptions!$C$42*12,((Assumptions!$C$15*(1-0.05))*(Assumptions!$C$38+0.1)))*12),IF(10&lt;=Assumptions!$C$41,(((Assumptions!$C$15*(1-0.05))*(Assumptions!$C$38+0.1))*Assumptions!$C$40),(-PMT(Assumptions!$C$40/12,Assumptions!$C$42*12,((Assumptions!$C$15*(1-0.05))*(Assumptions!$C$38+0.1)))*12)))))-Assumptions!$C$58-IF(Assumptions!$C$28=1,IF(10=1,Assumptions!$C$26,0),Assumptions!$C$26/Assumptions!$H$15)-Assumptions!$C$33)+IF(10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+0.1)),IF(Assumptions!$C$37=2,(-FV(Assumptions!$C$40/12,Assumptions!$H$15*12,PMT(Assumptions!$C$40/12,Assumptions!$C$42*12,((Assumptions!$C$15*(1-0.05))*(Assumptions!$C$38+0.1))),((Assumptions!$C$15*(1-0.05))*(Assumptions!$C$38+0.1)))),(-FV(Assumptions!$C$40/12,MAX(0,Assumptions!$H$15-Assumptions!$C$41)*12,PMT(Assumptions!$C$40/12,Assumptions!$C$42*12,((Assumptions!$C$15*(1-0.05))*(Assumptions!$C$38+0.1))),((Assumptions!$C$15*(1-0.05)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N69" s="99" t="n">
        <f aca="false">IFERROR(IRR(C69:M69),0)</f>
        <v>0</v>
      </c>
    </row>
    <row r="70" customFormat="false" ht="15" hidden="false" customHeight="true" outlineLevel="0" collapsed="false">
      <c r="C70" s="98" t="n">
        <f aca="false">-(((Assumptions!$C$15*(1-0.1))*(1+Assumptions!$C$18))-((Assumptions!$C$15*(1-0.1))*(Assumptions!$C$38-0.1)))</f>
        <v>-0</v>
      </c>
      <c r="D70" s="98" t="n">
        <f aca="false">IF(1&gt;Assumptions!$H$15,0,IF('Pro Forma'!D$26="",0,'Pro Forma'!D$26-(IF(Assumptions!$C$37=1,((Assumptions!$C$15*(Assumptions!$C$38-0.1))*Assumptions!$C$40),IF(Assumptions!$C$37=2,(-PMT(Assumptions!$C$40/12,Assumptions!$C$42*12,(Assumptions!$C$15*(Assumptions!$C$38-0.1)))*12),IF(1&lt;=Assumptions!$C$41,((Assumptions!$C$15*(Assumptions!$C$38-0.1))*Assumptions!$C$40),(-PMT(Assumptions!$C$40/12,Assumptions!$C$42*12,(Assumptions!$C$15*(Assumptions!$C$38-0.1)))*12)))))-Assumptions!$C$58-IF(Assumptions!$C$28=1,IF(1=1,Assumptions!$C$26,0),Assumptions!$C$26/Assumptions!$H$15)-Assumptions!$C$33)+IF(1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$38-0.1)),IF(Assumptions!$C$37=2,(-FV(Assumptions!$C$40/12,Assumptions!$H$15*12,PMT(Assumptions!$C$40/12,Assumptions!$C$42*12,(Assumptions!$C$15*(Assumptions!$C$38-0.1))),(Assumptions!$C$15*(Assumptions!$C$38-0.1)))),(-FV(Assumptions!$C$40/12,MAX(0,Assumptions!$H$15-Assumptions!$C$41)*12,PMT(Assumptions!$C$40/12,Assumptions!$C$42*12,(Assumptions!$C$15*(Assumptions!$C$38-0.1))),(Assumptions!$C$15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E70" s="98" t="n">
        <f aca="false">IF(2&gt;Assumptions!$H$15,0,IF('Pro Forma'!E$26="",0,'Pro Forma'!E$26-(IF(Assumptions!$C$37=1,((Assumptions!$C$15*(Assumptions!$C$38-0.1))*Assumptions!$C$40),IF(Assumptions!$C$37=2,(-PMT(Assumptions!$C$40/12,Assumptions!$C$42*12,(Assumptions!$C$15*(Assumptions!$C$38-0.1)))*12),IF(2&lt;=Assumptions!$C$41,((Assumptions!$C$15*(Assumptions!$C$38-0.1))*Assumptions!$C$40),(-PMT(Assumptions!$C$40/12,Assumptions!$C$42*12,(Assumptions!$C$15*(Assumptions!$C$38-0.1)))*12)))))-Assumptions!$C$58-IF(Assumptions!$C$28=1,IF(2=1,Assumptions!$C$26,0),Assumptions!$C$26/Assumptions!$H$15)-Assumptions!$C$33)+IF(2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$38-0.1)),IF(Assumptions!$C$37=2,(-FV(Assumptions!$C$40/12,Assumptions!$H$15*12,PMT(Assumptions!$C$40/12,Assumptions!$C$42*12,(Assumptions!$C$15*(Assumptions!$C$38-0.1))),(Assumptions!$C$15*(Assumptions!$C$38-0.1)))),(-FV(Assumptions!$C$40/12,MAX(0,Assumptions!$H$15-Assumptions!$C$41)*12,PMT(Assumptions!$C$40/12,Assumptions!$C$42*12,(Assumptions!$C$15*(Assumptions!$C$38-0.1))),(Assumptions!$C$15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F70" s="98" t="n">
        <f aca="false">IF(3&gt;Assumptions!$H$15,0,IF('Pro Forma'!F$26="",0,'Pro Forma'!F$26-(IF(Assumptions!$C$37=1,((Assumptions!$C$15*(Assumptions!$C$38-0.1))*Assumptions!$C$40),IF(Assumptions!$C$37=2,(-PMT(Assumptions!$C$40/12,Assumptions!$C$42*12,(Assumptions!$C$15*(Assumptions!$C$38-0.1)))*12),IF(3&lt;=Assumptions!$C$41,((Assumptions!$C$15*(Assumptions!$C$38-0.1))*Assumptions!$C$40),(-PMT(Assumptions!$C$40/12,Assumptions!$C$42*12,(Assumptions!$C$15*(Assumptions!$C$38-0.1)))*12)))))-Assumptions!$C$58-IF(Assumptions!$C$28=1,IF(3=1,Assumptions!$C$26,0),Assumptions!$C$26/Assumptions!$H$15)-Assumptions!$C$33)+IF(3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$38-0.1)),IF(Assumptions!$C$37=2,(-FV(Assumptions!$C$40/12,Assumptions!$H$15*12,PMT(Assumptions!$C$40/12,Assumptions!$C$42*12,(Assumptions!$C$15*(Assumptions!$C$38-0.1))),(Assumptions!$C$15*(Assumptions!$C$38-0.1)))),(-FV(Assumptions!$C$40/12,MAX(0,Assumptions!$H$15-Assumptions!$C$41)*12,PMT(Assumptions!$C$40/12,Assumptions!$C$42*12,(Assumptions!$C$15*(Assumptions!$C$38-0.1))),(Assumptions!$C$15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G70" s="98" t="n">
        <f aca="false">IF(4&gt;Assumptions!$H$15,0,IF('Pro Forma'!G$26="",0,'Pro Forma'!G$26-(IF(Assumptions!$C$37=1,((Assumptions!$C$15*(Assumptions!$C$38-0.1))*Assumptions!$C$40),IF(Assumptions!$C$37=2,(-PMT(Assumptions!$C$40/12,Assumptions!$C$42*12,(Assumptions!$C$15*(Assumptions!$C$38-0.1)))*12),IF(4&lt;=Assumptions!$C$41,((Assumptions!$C$15*(Assumptions!$C$38-0.1))*Assumptions!$C$40),(-PMT(Assumptions!$C$40/12,Assumptions!$C$42*12,(Assumptions!$C$15*(Assumptions!$C$38-0.1)))*12)))))-Assumptions!$C$58-IF(Assumptions!$C$28=1,IF(4=1,Assumptions!$C$26,0),Assumptions!$C$26/Assumptions!$H$15)-Assumptions!$C$33)+IF(4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$38-0.1)),IF(Assumptions!$C$37=2,(-FV(Assumptions!$C$40/12,Assumptions!$H$15*12,PMT(Assumptions!$C$40/12,Assumptions!$C$42*12,(Assumptions!$C$15*(Assumptions!$C$38-0.1))),(Assumptions!$C$15*(Assumptions!$C$38-0.1)))),(-FV(Assumptions!$C$40/12,MAX(0,Assumptions!$H$15-Assumptions!$C$41)*12,PMT(Assumptions!$C$40/12,Assumptions!$C$42*12,(Assumptions!$C$15*(Assumptions!$C$38-0.1))),(Assumptions!$C$15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H70" s="98" t="n">
        <f aca="false">IF(5&gt;Assumptions!$H$15,0,IF('Pro Forma'!H$26="",0,'Pro Forma'!H$26-(IF(Assumptions!$C$37=1,((Assumptions!$C$15*(Assumptions!$C$38-0.1))*Assumptions!$C$40),IF(Assumptions!$C$37=2,(-PMT(Assumptions!$C$40/12,Assumptions!$C$42*12,(Assumptions!$C$15*(Assumptions!$C$38-0.1)))*12),IF(5&lt;=Assumptions!$C$41,((Assumptions!$C$15*(Assumptions!$C$38-0.1))*Assumptions!$C$40),(-PMT(Assumptions!$C$40/12,Assumptions!$C$42*12,(Assumptions!$C$15*(Assumptions!$C$38-0.1)))*12)))))-Assumptions!$C$58-IF(Assumptions!$C$28=1,IF(5=1,Assumptions!$C$26,0),Assumptions!$C$26/Assumptions!$H$15)-Assumptions!$C$33)+IF(5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$38-0.1)),IF(Assumptions!$C$37=2,(-FV(Assumptions!$C$40/12,Assumptions!$H$15*12,PMT(Assumptions!$C$40/12,Assumptions!$C$42*12,(Assumptions!$C$15*(Assumptions!$C$38-0.1))),(Assumptions!$C$15*(Assumptions!$C$38-0.1)))),(-FV(Assumptions!$C$40/12,MAX(0,Assumptions!$H$15-Assumptions!$C$41)*12,PMT(Assumptions!$C$40/12,Assumptions!$C$42*12,(Assumptions!$C$15*(Assumptions!$C$38-0.1))),(Assumptions!$C$15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I70" s="98" t="n">
        <f aca="false">IF(6&gt;Assumptions!$H$15,0,IF('Pro Forma'!I$26="",0,'Pro Forma'!I$26-(IF(Assumptions!$C$37=1,((Assumptions!$C$15*(Assumptions!$C$38-0.1))*Assumptions!$C$40),IF(Assumptions!$C$37=2,(-PMT(Assumptions!$C$40/12,Assumptions!$C$42*12,(Assumptions!$C$15*(Assumptions!$C$38-0.1)))*12),IF(6&lt;=Assumptions!$C$41,((Assumptions!$C$15*(Assumptions!$C$38-0.1))*Assumptions!$C$40),(-PMT(Assumptions!$C$40/12,Assumptions!$C$42*12,(Assumptions!$C$15*(Assumptions!$C$38-0.1)))*12)))))-Assumptions!$C$58-IF(Assumptions!$C$28=1,IF(6=1,Assumptions!$C$26,0),Assumptions!$C$26/Assumptions!$H$15)-Assumptions!$C$33)+IF(6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$38-0.1)),IF(Assumptions!$C$37=2,(-FV(Assumptions!$C$40/12,Assumptions!$H$15*12,PMT(Assumptions!$C$40/12,Assumptions!$C$42*12,(Assumptions!$C$15*(Assumptions!$C$38-0.1))),(Assumptions!$C$15*(Assumptions!$C$38-0.1)))),(-FV(Assumptions!$C$40/12,MAX(0,Assumptions!$H$15-Assumptions!$C$41)*12,PMT(Assumptions!$C$40/12,Assumptions!$C$42*12,(Assumptions!$C$15*(Assumptions!$C$38-0.1))),(Assumptions!$C$15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J70" s="98" t="n">
        <f aca="false">IF(7&gt;Assumptions!$H$15,0,IF('Pro Forma'!J$26="",0,'Pro Forma'!J$26-(IF(Assumptions!$C$37=1,((Assumptions!$C$15*(Assumptions!$C$38-0.1))*Assumptions!$C$40),IF(Assumptions!$C$37=2,(-PMT(Assumptions!$C$40/12,Assumptions!$C$42*12,(Assumptions!$C$15*(Assumptions!$C$38-0.1)))*12),IF(7&lt;=Assumptions!$C$41,((Assumptions!$C$15*(Assumptions!$C$38-0.1))*Assumptions!$C$40),(-PMT(Assumptions!$C$40/12,Assumptions!$C$42*12,(Assumptions!$C$15*(Assumptions!$C$38-0.1)))*12)))))-Assumptions!$C$58-IF(Assumptions!$C$28=1,IF(7=1,Assumptions!$C$26,0),Assumptions!$C$26/Assumptions!$H$15)-Assumptions!$C$33)+IF(7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$38-0.1)),IF(Assumptions!$C$37=2,(-FV(Assumptions!$C$40/12,Assumptions!$H$15*12,PMT(Assumptions!$C$40/12,Assumptions!$C$42*12,(Assumptions!$C$15*(Assumptions!$C$38-0.1))),(Assumptions!$C$15*(Assumptions!$C$38-0.1)))),(-FV(Assumptions!$C$40/12,MAX(0,Assumptions!$H$15-Assumptions!$C$41)*12,PMT(Assumptions!$C$40/12,Assumptions!$C$42*12,(Assumptions!$C$15*(Assumptions!$C$38-0.1))),(Assumptions!$C$15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K70" s="98" t="n">
        <f aca="false">IF(8&gt;Assumptions!$H$15,0,IF('Pro Forma'!K$26="",0,'Pro Forma'!K$26-(IF(Assumptions!$C$37=1,((Assumptions!$C$15*(Assumptions!$C$38-0.1))*Assumptions!$C$40),IF(Assumptions!$C$37=2,(-PMT(Assumptions!$C$40/12,Assumptions!$C$42*12,(Assumptions!$C$15*(Assumptions!$C$38-0.1)))*12),IF(8&lt;=Assumptions!$C$41,((Assumptions!$C$15*(Assumptions!$C$38-0.1))*Assumptions!$C$40),(-PMT(Assumptions!$C$40/12,Assumptions!$C$42*12,(Assumptions!$C$15*(Assumptions!$C$38-0.1)))*12)))))-Assumptions!$C$58-IF(Assumptions!$C$28=1,IF(8=1,Assumptions!$C$26,0),Assumptions!$C$26/Assumptions!$H$15)-Assumptions!$C$33)+IF(8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$38-0.1)),IF(Assumptions!$C$37=2,(-FV(Assumptions!$C$40/12,Assumptions!$H$15*12,PMT(Assumptions!$C$40/12,Assumptions!$C$42*12,(Assumptions!$C$15*(Assumptions!$C$38-0.1))),(Assumptions!$C$15*(Assumptions!$C$38-0.1)))),(-FV(Assumptions!$C$40/12,MAX(0,Assumptions!$H$15-Assumptions!$C$41)*12,PMT(Assumptions!$C$40/12,Assumptions!$C$42*12,(Assumptions!$C$15*(Assumptions!$C$38-0.1))),(Assumptions!$C$15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L70" s="98" t="n">
        <f aca="false">IF(9&gt;Assumptions!$H$15,0,IF('Pro Forma'!L$26="",0,'Pro Forma'!L$26-(IF(Assumptions!$C$37=1,((Assumptions!$C$15*(Assumptions!$C$38-0.1))*Assumptions!$C$40),IF(Assumptions!$C$37=2,(-PMT(Assumptions!$C$40/12,Assumptions!$C$42*12,(Assumptions!$C$15*(Assumptions!$C$38-0.1)))*12),IF(9&lt;=Assumptions!$C$41,((Assumptions!$C$15*(Assumptions!$C$38-0.1))*Assumptions!$C$40),(-PMT(Assumptions!$C$40/12,Assumptions!$C$42*12,(Assumptions!$C$15*(Assumptions!$C$38-0.1)))*12)))))-Assumptions!$C$58-IF(Assumptions!$C$28=1,IF(9=1,Assumptions!$C$26,0),Assumptions!$C$26/Assumptions!$H$15)-Assumptions!$C$33)+IF(9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$38-0.1)),IF(Assumptions!$C$37=2,(-FV(Assumptions!$C$40/12,Assumptions!$H$15*12,PMT(Assumptions!$C$40/12,Assumptions!$C$42*12,(Assumptions!$C$15*(Assumptions!$C$38-0.1))),(Assumptions!$C$15*(Assumptions!$C$38-0.1)))),(-FV(Assumptions!$C$40/12,MAX(0,Assumptions!$H$15-Assumptions!$C$41)*12,PMT(Assumptions!$C$40/12,Assumptions!$C$42*12,(Assumptions!$C$15*(Assumptions!$C$38-0.1))),(Assumptions!$C$15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M70" s="98" t="n">
        <f aca="false">IF(10&gt;Assumptions!$H$15,0,IF('Pro Forma'!M$26="",0,'Pro Forma'!M$26-(IF(Assumptions!$C$37=1,((Assumptions!$C$15*(Assumptions!$C$38-0.1))*Assumptions!$C$40),IF(Assumptions!$C$37=2,(-PMT(Assumptions!$C$40/12,Assumptions!$C$42*12,(Assumptions!$C$15*(Assumptions!$C$38-0.1)))*12),IF(10&lt;=Assumptions!$C$41,((Assumptions!$C$15*(Assumptions!$C$38-0.1))*Assumptions!$C$40),(-PMT(Assumptions!$C$40/12,Assumptions!$C$42*12,(Assumptions!$C$15*(Assumptions!$C$38-0.1)))*12)))))-Assumptions!$C$58-IF(Assumptions!$C$28=1,IF(10=1,Assumptions!$C$26,0),Assumptions!$C$26/Assumptions!$H$15)-Assumptions!$C$33)+IF(10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$38-0.1)),IF(Assumptions!$C$37=2,(-FV(Assumptions!$C$40/12,Assumptions!$H$15*12,PMT(Assumptions!$C$40/12,Assumptions!$C$42*12,(Assumptions!$C$15*(Assumptions!$C$38-0.1))),(Assumptions!$C$15*(Assumptions!$C$38-0.1)))),(-FV(Assumptions!$C$40/12,MAX(0,Assumptions!$H$15-Assumptions!$C$41)*12,PMT(Assumptions!$C$40/12,Assumptions!$C$42*12,(Assumptions!$C$15*(Assumptions!$C$38-0.1))),(Assumptions!$C$15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N70" s="99" t="n">
        <f aca="false">IFERROR(IRR(C70:M70),0)</f>
        <v>0</v>
      </c>
    </row>
    <row r="71" customFormat="false" ht="15" hidden="false" customHeight="true" outlineLevel="0" collapsed="false">
      <c r="C71" s="98" t="n">
        <f aca="false">-(((Assumptions!$C$15*(1-0.1))*(1+Assumptions!$C$18))-((Assumptions!$C$15*(1-0.1))*(Assumptions!$C$38-0.1)))</f>
        <v>-0</v>
      </c>
      <c r="D71" s="98" t="n">
        <f aca="false">IF(1&gt;Assumptions!$H$15,0,IF('Pro Forma'!D$26="",0,'Pro Forma'!D$26-(IF(Assumptions!$C$37=1,((Assumptions!$C$15*(Assumptions!$C$38-0.05))*Assumptions!$C$40),IF(Assumptions!$C$37=2,(-PMT(Assumptions!$C$40/12,Assumptions!$C$42*12,(Assumptions!$C$15*(Assumptions!$C$38-0.05)))*12),IF(1&lt;=Assumptions!$C$41,((Assumptions!$C$15*(Assumptions!$C$38-0.05))*Assumptions!$C$40),(-PMT(Assumptions!$C$40/12,Assumptions!$C$42*12,(Assumptions!$C$15*(Assumptions!$C$38-0.05)))*12)))))-Assumptions!$C$58-IF(Assumptions!$C$28=1,IF(1=1,Assumptions!$C$26,0),Assumptions!$C$26/Assumptions!$H$15)-Assumptions!$C$33)+IF(1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$38-0.05)),IF(Assumptions!$C$37=2,(-FV(Assumptions!$C$40/12,Assumptions!$H$15*12,PMT(Assumptions!$C$40/12,Assumptions!$C$42*12,(Assumptions!$C$15*(Assumptions!$C$38-0.05))),(Assumptions!$C$15*(Assumptions!$C$38-0.05)))),(-FV(Assumptions!$C$40/12,MAX(0,Assumptions!$H$15-Assumptions!$C$41)*12,PMT(Assumptions!$C$40/12,Assumptions!$C$42*12,(Assumptions!$C$15*(Assumptions!$C$38-0.05))),(Assumptions!$C$15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E71" s="98" t="n">
        <f aca="false">IF(2&gt;Assumptions!$H$15,0,IF('Pro Forma'!E$26="",0,'Pro Forma'!E$26-(IF(Assumptions!$C$37=1,((Assumptions!$C$15*(Assumptions!$C$38-0.05))*Assumptions!$C$40),IF(Assumptions!$C$37=2,(-PMT(Assumptions!$C$40/12,Assumptions!$C$42*12,(Assumptions!$C$15*(Assumptions!$C$38-0.05)))*12),IF(2&lt;=Assumptions!$C$41,((Assumptions!$C$15*(Assumptions!$C$38-0.05))*Assumptions!$C$40),(-PMT(Assumptions!$C$40/12,Assumptions!$C$42*12,(Assumptions!$C$15*(Assumptions!$C$38-0.05)))*12)))))-Assumptions!$C$58-IF(Assumptions!$C$28=1,IF(2=1,Assumptions!$C$26,0),Assumptions!$C$26/Assumptions!$H$15)-Assumptions!$C$33)+IF(2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$38-0.05)),IF(Assumptions!$C$37=2,(-FV(Assumptions!$C$40/12,Assumptions!$H$15*12,PMT(Assumptions!$C$40/12,Assumptions!$C$42*12,(Assumptions!$C$15*(Assumptions!$C$38-0.05))),(Assumptions!$C$15*(Assumptions!$C$38-0.05)))),(-FV(Assumptions!$C$40/12,MAX(0,Assumptions!$H$15-Assumptions!$C$41)*12,PMT(Assumptions!$C$40/12,Assumptions!$C$42*12,(Assumptions!$C$15*(Assumptions!$C$38-0.05))),(Assumptions!$C$15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F71" s="98" t="n">
        <f aca="false">IF(3&gt;Assumptions!$H$15,0,IF('Pro Forma'!F$26="",0,'Pro Forma'!F$26-(IF(Assumptions!$C$37=1,((Assumptions!$C$15*(Assumptions!$C$38-0.05))*Assumptions!$C$40),IF(Assumptions!$C$37=2,(-PMT(Assumptions!$C$40/12,Assumptions!$C$42*12,(Assumptions!$C$15*(Assumptions!$C$38-0.05)))*12),IF(3&lt;=Assumptions!$C$41,((Assumptions!$C$15*(Assumptions!$C$38-0.05))*Assumptions!$C$40),(-PMT(Assumptions!$C$40/12,Assumptions!$C$42*12,(Assumptions!$C$15*(Assumptions!$C$38-0.05)))*12)))))-Assumptions!$C$58-IF(Assumptions!$C$28=1,IF(3=1,Assumptions!$C$26,0),Assumptions!$C$26/Assumptions!$H$15)-Assumptions!$C$33)+IF(3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$38-0.05)),IF(Assumptions!$C$37=2,(-FV(Assumptions!$C$40/12,Assumptions!$H$15*12,PMT(Assumptions!$C$40/12,Assumptions!$C$42*12,(Assumptions!$C$15*(Assumptions!$C$38-0.05))),(Assumptions!$C$15*(Assumptions!$C$38-0.05)))),(-FV(Assumptions!$C$40/12,MAX(0,Assumptions!$H$15-Assumptions!$C$41)*12,PMT(Assumptions!$C$40/12,Assumptions!$C$42*12,(Assumptions!$C$15*(Assumptions!$C$38-0.05))),(Assumptions!$C$15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G71" s="98" t="n">
        <f aca="false">IF(4&gt;Assumptions!$H$15,0,IF('Pro Forma'!G$26="",0,'Pro Forma'!G$26-(IF(Assumptions!$C$37=1,((Assumptions!$C$15*(Assumptions!$C$38-0.05))*Assumptions!$C$40),IF(Assumptions!$C$37=2,(-PMT(Assumptions!$C$40/12,Assumptions!$C$42*12,(Assumptions!$C$15*(Assumptions!$C$38-0.05)))*12),IF(4&lt;=Assumptions!$C$41,((Assumptions!$C$15*(Assumptions!$C$38-0.05))*Assumptions!$C$40),(-PMT(Assumptions!$C$40/12,Assumptions!$C$42*12,(Assumptions!$C$15*(Assumptions!$C$38-0.05)))*12)))))-Assumptions!$C$58-IF(Assumptions!$C$28=1,IF(4=1,Assumptions!$C$26,0),Assumptions!$C$26/Assumptions!$H$15)-Assumptions!$C$33)+IF(4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$38-0.05)),IF(Assumptions!$C$37=2,(-FV(Assumptions!$C$40/12,Assumptions!$H$15*12,PMT(Assumptions!$C$40/12,Assumptions!$C$42*12,(Assumptions!$C$15*(Assumptions!$C$38-0.05))),(Assumptions!$C$15*(Assumptions!$C$38-0.05)))),(-FV(Assumptions!$C$40/12,MAX(0,Assumptions!$H$15-Assumptions!$C$41)*12,PMT(Assumptions!$C$40/12,Assumptions!$C$42*12,(Assumptions!$C$15*(Assumptions!$C$38-0.05))),(Assumptions!$C$15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H71" s="98" t="n">
        <f aca="false">IF(5&gt;Assumptions!$H$15,0,IF('Pro Forma'!H$26="",0,'Pro Forma'!H$26-(IF(Assumptions!$C$37=1,((Assumptions!$C$15*(Assumptions!$C$38-0.05))*Assumptions!$C$40),IF(Assumptions!$C$37=2,(-PMT(Assumptions!$C$40/12,Assumptions!$C$42*12,(Assumptions!$C$15*(Assumptions!$C$38-0.05)))*12),IF(5&lt;=Assumptions!$C$41,((Assumptions!$C$15*(Assumptions!$C$38-0.05))*Assumptions!$C$40),(-PMT(Assumptions!$C$40/12,Assumptions!$C$42*12,(Assumptions!$C$15*(Assumptions!$C$38-0.05)))*12)))))-Assumptions!$C$58-IF(Assumptions!$C$28=1,IF(5=1,Assumptions!$C$26,0),Assumptions!$C$26/Assumptions!$H$15)-Assumptions!$C$33)+IF(5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$38-0.05)),IF(Assumptions!$C$37=2,(-FV(Assumptions!$C$40/12,Assumptions!$H$15*12,PMT(Assumptions!$C$40/12,Assumptions!$C$42*12,(Assumptions!$C$15*(Assumptions!$C$38-0.05))),(Assumptions!$C$15*(Assumptions!$C$38-0.05)))),(-FV(Assumptions!$C$40/12,MAX(0,Assumptions!$H$15-Assumptions!$C$41)*12,PMT(Assumptions!$C$40/12,Assumptions!$C$42*12,(Assumptions!$C$15*(Assumptions!$C$38-0.05))),(Assumptions!$C$15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I71" s="98" t="n">
        <f aca="false">IF(6&gt;Assumptions!$H$15,0,IF('Pro Forma'!I$26="",0,'Pro Forma'!I$26-(IF(Assumptions!$C$37=1,((Assumptions!$C$15*(Assumptions!$C$38-0.05))*Assumptions!$C$40),IF(Assumptions!$C$37=2,(-PMT(Assumptions!$C$40/12,Assumptions!$C$42*12,(Assumptions!$C$15*(Assumptions!$C$38-0.05)))*12),IF(6&lt;=Assumptions!$C$41,((Assumptions!$C$15*(Assumptions!$C$38-0.05))*Assumptions!$C$40),(-PMT(Assumptions!$C$40/12,Assumptions!$C$42*12,(Assumptions!$C$15*(Assumptions!$C$38-0.05)))*12)))))-Assumptions!$C$58-IF(Assumptions!$C$28=1,IF(6=1,Assumptions!$C$26,0),Assumptions!$C$26/Assumptions!$H$15)-Assumptions!$C$33)+IF(6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$38-0.05)),IF(Assumptions!$C$37=2,(-FV(Assumptions!$C$40/12,Assumptions!$H$15*12,PMT(Assumptions!$C$40/12,Assumptions!$C$42*12,(Assumptions!$C$15*(Assumptions!$C$38-0.05))),(Assumptions!$C$15*(Assumptions!$C$38-0.05)))),(-FV(Assumptions!$C$40/12,MAX(0,Assumptions!$H$15-Assumptions!$C$41)*12,PMT(Assumptions!$C$40/12,Assumptions!$C$42*12,(Assumptions!$C$15*(Assumptions!$C$38-0.05))),(Assumptions!$C$15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J71" s="98" t="n">
        <f aca="false">IF(7&gt;Assumptions!$H$15,0,IF('Pro Forma'!J$26="",0,'Pro Forma'!J$26-(IF(Assumptions!$C$37=1,((Assumptions!$C$15*(Assumptions!$C$38-0.05))*Assumptions!$C$40),IF(Assumptions!$C$37=2,(-PMT(Assumptions!$C$40/12,Assumptions!$C$42*12,(Assumptions!$C$15*(Assumptions!$C$38-0.05)))*12),IF(7&lt;=Assumptions!$C$41,((Assumptions!$C$15*(Assumptions!$C$38-0.05))*Assumptions!$C$40),(-PMT(Assumptions!$C$40/12,Assumptions!$C$42*12,(Assumptions!$C$15*(Assumptions!$C$38-0.05)))*12)))))-Assumptions!$C$58-IF(Assumptions!$C$28=1,IF(7=1,Assumptions!$C$26,0),Assumptions!$C$26/Assumptions!$H$15)-Assumptions!$C$33)+IF(7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$38-0.05)),IF(Assumptions!$C$37=2,(-FV(Assumptions!$C$40/12,Assumptions!$H$15*12,PMT(Assumptions!$C$40/12,Assumptions!$C$42*12,(Assumptions!$C$15*(Assumptions!$C$38-0.05))),(Assumptions!$C$15*(Assumptions!$C$38-0.05)))),(-FV(Assumptions!$C$40/12,MAX(0,Assumptions!$H$15-Assumptions!$C$41)*12,PMT(Assumptions!$C$40/12,Assumptions!$C$42*12,(Assumptions!$C$15*(Assumptions!$C$38-0.05))),(Assumptions!$C$15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K71" s="98" t="n">
        <f aca="false">IF(8&gt;Assumptions!$H$15,0,IF('Pro Forma'!K$26="",0,'Pro Forma'!K$26-(IF(Assumptions!$C$37=1,((Assumptions!$C$15*(Assumptions!$C$38-0.05))*Assumptions!$C$40),IF(Assumptions!$C$37=2,(-PMT(Assumptions!$C$40/12,Assumptions!$C$42*12,(Assumptions!$C$15*(Assumptions!$C$38-0.05)))*12),IF(8&lt;=Assumptions!$C$41,((Assumptions!$C$15*(Assumptions!$C$38-0.05))*Assumptions!$C$40),(-PMT(Assumptions!$C$40/12,Assumptions!$C$42*12,(Assumptions!$C$15*(Assumptions!$C$38-0.05)))*12)))))-Assumptions!$C$58-IF(Assumptions!$C$28=1,IF(8=1,Assumptions!$C$26,0),Assumptions!$C$26/Assumptions!$H$15)-Assumptions!$C$33)+IF(8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$38-0.05)),IF(Assumptions!$C$37=2,(-FV(Assumptions!$C$40/12,Assumptions!$H$15*12,PMT(Assumptions!$C$40/12,Assumptions!$C$42*12,(Assumptions!$C$15*(Assumptions!$C$38-0.05))),(Assumptions!$C$15*(Assumptions!$C$38-0.05)))),(-FV(Assumptions!$C$40/12,MAX(0,Assumptions!$H$15-Assumptions!$C$41)*12,PMT(Assumptions!$C$40/12,Assumptions!$C$42*12,(Assumptions!$C$15*(Assumptions!$C$38-0.05))),(Assumptions!$C$15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L71" s="98" t="n">
        <f aca="false">IF(9&gt;Assumptions!$H$15,0,IF('Pro Forma'!L$26="",0,'Pro Forma'!L$26-(IF(Assumptions!$C$37=1,((Assumptions!$C$15*(Assumptions!$C$38-0.05))*Assumptions!$C$40),IF(Assumptions!$C$37=2,(-PMT(Assumptions!$C$40/12,Assumptions!$C$42*12,(Assumptions!$C$15*(Assumptions!$C$38-0.05)))*12),IF(9&lt;=Assumptions!$C$41,((Assumptions!$C$15*(Assumptions!$C$38-0.05))*Assumptions!$C$40),(-PMT(Assumptions!$C$40/12,Assumptions!$C$42*12,(Assumptions!$C$15*(Assumptions!$C$38-0.05)))*12)))))-Assumptions!$C$58-IF(Assumptions!$C$28=1,IF(9=1,Assumptions!$C$26,0),Assumptions!$C$26/Assumptions!$H$15)-Assumptions!$C$33)+IF(9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$38-0.05)),IF(Assumptions!$C$37=2,(-FV(Assumptions!$C$40/12,Assumptions!$H$15*12,PMT(Assumptions!$C$40/12,Assumptions!$C$42*12,(Assumptions!$C$15*(Assumptions!$C$38-0.05))),(Assumptions!$C$15*(Assumptions!$C$38-0.05)))),(-FV(Assumptions!$C$40/12,MAX(0,Assumptions!$H$15-Assumptions!$C$41)*12,PMT(Assumptions!$C$40/12,Assumptions!$C$42*12,(Assumptions!$C$15*(Assumptions!$C$38-0.05))),(Assumptions!$C$15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M71" s="98" t="n">
        <f aca="false">IF(10&gt;Assumptions!$H$15,0,IF('Pro Forma'!M$26="",0,'Pro Forma'!M$26-(IF(Assumptions!$C$37=1,((Assumptions!$C$15*(Assumptions!$C$38-0.05))*Assumptions!$C$40),IF(Assumptions!$C$37=2,(-PMT(Assumptions!$C$40/12,Assumptions!$C$42*12,(Assumptions!$C$15*(Assumptions!$C$38-0.05)))*12),IF(10&lt;=Assumptions!$C$41,((Assumptions!$C$15*(Assumptions!$C$38-0.05))*Assumptions!$C$40),(-PMT(Assumptions!$C$40/12,Assumptions!$C$42*12,(Assumptions!$C$15*(Assumptions!$C$38-0.05)))*12)))))-Assumptions!$C$58-IF(Assumptions!$C$28=1,IF(10=1,Assumptions!$C$26,0),Assumptions!$C$26/Assumptions!$H$15)-Assumptions!$C$33)+IF(10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$38-0.05)),IF(Assumptions!$C$37=2,(-FV(Assumptions!$C$40/12,Assumptions!$H$15*12,PMT(Assumptions!$C$40/12,Assumptions!$C$42*12,(Assumptions!$C$15*(Assumptions!$C$38-0.05))),(Assumptions!$C$15*(Assumptions!$C$38-0.05)))),(-FV(Assumptions!$C$40/12,MAX(0,Assumptions!$H$15-Assumptions!$C$41)*12,PMT(Assumptions!$C$40/12,Assumptions!$C$42*12,(Assumptions!$C$15*(Assumptions!$C$38-0.05))),(Assumptions!$C$15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N71" s="99" t="n">
        <f aca="false">IFERROR(IRR(C71:M71),0)</f>
        <v>0</v>
      </c>
    </row>
    <row r="72" customFormat="false" ht="15" hidden="false" customHeight="true" outlineLevel="0" collapsed="false">
      <c r="C72" s="98" t="n">
        <f aca="false">-(((Assumptions!$C$15*(1-0.1))*(1+Assumptions!$C$18))-((Assumptions!$C$15*(1-0.1))*(Assumptions!$C$38-0.1)))</f>
        <v>-0</v>
      </c>
      <c r="D72" s="98" t="n">
        <f aca="false">IF(1&gt;Assumptions!$H$15,0,IF('Pro Forma'!D$26="",0,'Pro Forma'!D$26-(IF(Assumptions!$C$37=1,((Assumptions!$C$15*Assumptions!$C$38)*Assumptions!$C$40),IF(Assumptions!$C$37=2,(-PMT(Assumptions!$C$40/12,Assumptions!$C$42*12,(Assumptions!$C$15*Assumptions!$C$38))*12),IF(1&lt;=Assumptions!$C$41,((Assumptions!$C$15*Assumptions!$C$38)*Assumptions!$C$40),(-PMT(Assumptions!$C$40/12,Assumptions!$C$42*12,(Assumptions!$C$15*Assumptions!$C$38))*12)))))-Assumptions!$C$58-IF(Assumptions!$C$28=1,IF(1=1,Assumptions!$C$26,0),Assumptions!$C$26/Assumptions!$H$15)-Assumptions!$C$33)+IF(1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Assumptions!$C$38),IF(Assumptions!$C$37=2,(-FV(Assumptions!$C$40/12,Assumptions!$H$15*12,PMT(Assumptions!$C$40/12,Assumptions!$C$42*12,(Assumptions!$C$15*Assumptions!$C$38)),(Assumptions!$C$15*Assumptions!$C$38))),(-FV(Assumptions!$C$40/12,MAX(0,Assumptions!$H$15-Assumptions!$C$41)*12,PMT(Assumptions!$C$40/12,Assumptions!$C$42*12,(Assumptions!$C$15*Assumptions!$C$38)),(Assumptions!$C$15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E72" s="98" t="n">
        <f aca="false">IF(2&gt;Assumptions!$H$15,0,IF('Pro Forma'!E$26="",0,'Pro Forma'!E$26-(IF(Assumptions!$C$37=1,((Assumptions!$C$15*Assumptions!$C$38)*Assumptions!$C$40),IF(Assumptions!$C$37=2,(-PMT(Assumptions!$C$40/12,Assumptions!$C$42*12,(Assumptions!$C$15*Assumptions!$C$38))*12),IF(2&lt;=Assumptions!$C$41,((Assumptions!$C$15*Assumptions!$C$38)*Assumptions!$C$40),(-PMT(Assumptions!$C$40/12,Assumptions!$C$42*12,(Assumptions!$C$15*Assumptions!$C$38))*12)))))-Assumptions!$C$58-IF(Assumptions!$C$28=1,IF(2=1,Assumptions!$C$26,0),Assumptions!$C$26/Assumptions!$H$15)-Assumptions!$C$33)+IF(2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Assumptions!$C$38),IF(Assumptions!$C$37=2,(-FV(Assumptions!$C$40/12,Assumptions!$H$15*12,PMT(Assumptions!$C$40/12,Assumptions!$C$42*12,(Assumptions!$C$15*Assumptions!$C$38)),(Assumptions!$C$15*Assumptions!$C$38))),(-FV(Assumptions!$C$40/12,MAX(0,Assumptions!$H$15-Assumptions!$C$41)*12,PMT(Assumptions!$C$40/12,Assumptions!$C$42*12,(Assumptions!$C$15*Assumptions!$C$38)),(Assumptions!$C$15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F72" s="98" t="n">
        <f aca="false">IF(3&gt;Assumptions!$H$15,0,IF('Pro Forma'!F$26="",0,'Pro Forma'!F$26-(IF(Assumptions!$C$37=1,((Assumptions!$C$15*Assumptions!$C$38)*Assumptions!$C$40),IF(Assumptions!$C$37=2,(-PMT(Assumptions!$C$40/12,Assumptions!$C$42*12,(Assumptions!$C$15*Assumptions!$C$38))*12),IF(3&lt;=Assumptions!$C$41,((Assumptions!$C$15*Assumptions!$C$38)*Assumptions!$C$40),(-PMT(Assumptions!$C$40/12,Assumptions!$C$42*12,(Assumptions!$C$15*Assumptions!$C$38))*12)))))-Assumptions!$C$58-IF(Assumptions!$C$28=1,IF(3=1,Assumptions!$C$26,0),Assumptions!$C$26/Assumptions!$H$15)-Assumptions!$C$33)+IF(3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Assumptions!$C$38),IF(Assumptions!$C$37=2,(-FV(Assumptions!$C$40/12,Assumptions!$H$15*12,PMT(Assumptions!$C$40/12,Assumptions!$C$42*12,(Assumptions!$C$15*Assumptions!$C$38)),(Assumptions!$C$15*Assumptions!$C$38))),(-FV(Assumptions!$C$40/12,MAX(0,Assumptions!$H$15-Assumptions!$C$41)*12,PMT(Assumptions!$C$40/12,Assumptions!$C$42*12,(Assumptions!$C$15*Assumptions!$C$38)),(Assumptions!$C$15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G72" s="98" t="n">
        <f aca="false">IF(4&gt;Assumptions!$H$15,0,IF('Pro Forma'!G$26="",0,'Pro Forma'!G$26-(IF(Assumptions!$C$37=1,((Assumptions!$C$15*Assumptions!$C$38)*Assumptions!$C$40),IF(Assumptions!$C$37=2,(-PMT(Assumptions!$C$40/12,Assumptions!$C$42*12,(Assumptions!$C$15*Assumptions!$C$38))*12),IF(4&lt;=Assumptions!$C$41,((Assumptions!$C$15*Assumptions!$C$38)*Assumptions!$C$40),(-PMT(Assumptions!$C$40/12,Assumptions!$C$42*12,(Assumptions!$C$15*Assumptions!$C$38))*12)))))-Assumptions!$C$58-IF(Assumptions!$C$28=1,IF(4=1,Assumptions!$C$26,0),Assumptions!$C$26/Assumptions!$H$15)-Assumptions!$C$33)+IF(4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Assumptions!$C$38),IF(Assumptions!$C$37=2,(-FV(Assumptions!$C$40/12,Assumptions!$H$15*12,PMT(Assumptions!$C$40/12,Assumptions!$C$42*12,(Assumptions!$C$15*Assumptions!$C$38)),(Assumptions!$C$15*Assumptions!$C$38))),(-FV(Assumptions!$C$40/12,MAX(0,Assumptions!$H$15-Assumptions!$C$41)*12,PMT(Assumptions!$C$40/12,Assumptions!$C$42*12,(Assumptions!$C$15*Assumptions!$C$38)),(Assumptions!$C$15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H72" s="98" t="n">
        <f aca="false">IF(5&gt;Assumptions!$H$15,0,IF('Pro Forma'!H$26="",0,'Pro Forma'!H$26-(IF(Assumptions!$C$37=1,((Assumptions!$C$15*Assumptions!$C$38)*Assumptions!$C$40),IF(Assumptions!$C$37=2,(-PMT(Assumptions!$C$40/12,Assumptions!$C$42*12,(Assumptions!$C$15*Assumptions!$C$38))*12),IF(5&lt;=Assumptions!$C$41,((Assumptions!$C$15*Assumptions!$C$38)*Assumptions!$C$40),(-PMT(Assumptions!$C$40/12,Assumptions!$C$42*12,(Assumptions!$C$15*Assumptions!$C$38))*12)))))-Assumptions!$C$58-IF(Assumptions!$C$28=1,IF(5=1,Assumptions!$C$26,0),Assumptions!$C$26/Assumptions!$H$15)-Assumptions!$C$33)+IF(5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Assumptions!$C$38),IF(Assumptions!$C$37=2,(-FV(Assumptions!$C$40/12,Assumptions!$H$15*12,PMT(Assumptions!$C$40/12,Assumptions!$C$42*12,(Assumptions!$C$15*Assumptions!$C$38)),(Assumptions!$C$15*Assumptions!$C$38))),(-FV(Assumptions!$C$40/12,MAX(0,Assumptions!$H$15-Assumptions!$C$41)*12,PMT(Assumptions!$C$40/12,Assumptions!$C$42*12,(Assumptions!$C$15*Assumptions!$C$38)),(Assumptions!$C$15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I72" s="98" t="n">
        <f aca="false">IF(6&gt;Assumptions!$H$15,0,IF('Pro Forma'!I$26="",0,'Pro Forma'!I$26-(IF(Assumptions!$C$37=1,((Assumptions!$C$15*Assumptions!$C$38)*Assumptions!$C$40),IF(Assumptions!$C$37=2,(-PMT(Assumptions!$C$40/12,Assumptions!$C$42*12,(Assumptions!$C$15*Assumptions!$C$38))*12),IF(6&lt;=Assumptions!$C$41,((Assumptions!$C$15*Assumptions!$C$38)*Assumptions!$C$40),(-PMT(Assumptions!$C$40/12,Assumptions!$C$42*12,(Assumptions!$C$15*Assumptions!$C$38))*12)))))-Assumptions!$C$58-IF(Assumptions!$C$28=1,IF(6=1,Assumptions!$C$26,0),Assumptions!$C$26/Assumptions!$H$15)-Assumptions!$C$33)+IF(6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Assumptions!$C$38),IF(Assumptions!$C$37=2,(-FV(Assumptions!$C$40/12,Assumptions!$H$15*12,PMT(Assumptions!$C$40/12,Assumptions!$C$42*12,(Assumptions!$C$15*Assumptions!$C$38)),(Assumptions!$C$15*Assumptions!$C$38))),(-FV(Assumptions!$C$40/12,MAX(0,Assumptions!$H$15-Assumptions!$C$41)*12,PMT(Assumptions!$C$40/12,Assumptions!$C$42*12,(Assumptions!$C$15*Assumptions!$C$38)),(Assumptions!$C$15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J72" s="98" t="n">
        <f aca="false">IF(7&gt;Assumptions!$H$15,0,IF('Pro Forma'!J$26="",0,'Pro Forma'!J$26-(IF(Assumptions!$C$37=1,((Assumptions!$C$15*Assumptions!$C$38)*Assumptions!$C$40),IF(Assumptions!$C$37=2,(-PMT(Assumptions!$C$40/12,Assumptions!$C$42*12,(Assumptions!$C$15*Assumptions!$C$38))*12),IF(7&lt;=Assumptions!$C$41,((Assumptions!$C$15*Assumptions!$C$38)*Assumptions!$C$40),(-PMT(Assumptions!$C$40/12,Assumptions!$C$42*12,(Assumptions!$C$15*Assumptions!$C$38))*12)))))-Assumptions!$C$58-IF(Assumptions!$C$28=1,IF(7=1,Assumptions!$C$26,0),Assumptions!$C$26/Assumptions!$H$15)-Assumptions!$C$33)+IF(7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Assumptions!$C$38),IF(Assumptions!$C$37=2,(-FV(Assumptions!$C$40/12,Assumptions!$H$15*12,PMT(Assumptions!$C$40/12,Assumptions!$C$42*12,(Assumptions!$C$15*Assumptions!$C$38)),(Assumptions!$C$15*Assumptions!$C$38))),(-FV(Assumptions!$C$40/12,MAX(0,Assumptions!$H$15-Assumptions!$C$41)*12,PMT(Assumptions!$C$40/12,Assumptions!$C$42*12,(Assumptions!$C$15*Assumptions!$C$38)),(Assumptions!$C$15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K72" s="98" t="n">
        <f aca="false">IF(8&gt;Assumptions!$H$15,0,IF('Pro Forma'!K$26="",0,'Pro Forma'!K$26-(IF(Assumptions!$C$37=1,((Assumptions!$C$15*Assumptions!$C$38)*Assumptions!$C$40),IF(Assumptions!$C$37=2,(-PMT(Assumptions!$C$40/12,Assumptions!$C$42*12,(Assumptions!$C$15*Assumptions!$C$38))*12),IF(8&lt;=Assumptions!$C$41,((Assumptions!$C$15*Assumptions!$C$38)*Assumptions!$C$40),(-PMT(Assumptions!$C$40/12,Assumptions!$C$42*12,(Assumptions!$C$15*Assumptions!$C$38))*12)))))-Assumptions!$C$58-IF(Assumptions!$C$28=1,IF(8=1,Assumptions!$C$26,0),Assumptions!$C$26/Assumptions!$H$15)-Assumptions!$C$33)+IF(8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Assumptions!$C$38),IF(Assumptions!$C$37=2,(-FV(Assumptions!$C$40/12,Assumptions!$H$15*12,PMT(Assumptions!$C$40/12,Assumptions!$C$42*12,(Assumptions!$C$15*Assumptions!$C$38)),(Assumptions!$C$15*Assumptions!$C$38))),(-FV(Assumptions!$C$40/12,MAX(0,Assumptions!$H$15-Assumptions!$C$41)*12,PMT(Assumptions!$C$40/12,Assumptions!$C$42*12,(Assumptions!$C$15*Assumptions!$C$38)),(Assumptions!$C$15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L72" s="98" t="n">
        <f aca="false">IF(9&gt;Assumptions!$H$15,0,IF('Pro Forma'!L$26="",0,'Pro Forma'!L$26-(IF(Assumptions!$C$37=1,((Assumptions!$C$15*Assumptions!$C$38)*Assumptions!$C$40),IF(Assumptions!$C$37=2,(-PMT(Assumptions!$C$40/12,Assumptions!$C$42*12,(Assumptions!$C$15*Assumptions!$C$38))*12),IF(9&lt;=Assumptions!$C$41,((Assumptions!$C$15*Assumptions!$C$38)*Assumptions!$C$40),(-PMT(Assumptions!$C$40/12,Assumptions!$C$42*12,(Assumptions!$C$15*Assumptions!$C$38))*12)))))-Assumptions!$C$58-IF(Assumptions!$C$28=1,IF(9=1,Assumptions!$C$26,0),Assumptions!$C$26/Assumptions!$H$15)-Assumptions!$C$33)+IF(9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Assumptions!$C$38),IF(Assumptions!$C$37=2,(-FV(Assumptions!$C$40/12,Assumptions!$H$15*12,PMT(Assumptions!$C$40/12,Assumptions!$C$42*12,(Assumptions!$C$15*Assumptions!$C$38)),(Assumptions!$C$15*Assumptions!$C$38))),(-FV(Assumptions!$C$40/12,MAX(0,Assumptions!$H$15-Assumptions!$C$41)*12,PMT(Assumptions!$C$40/12,Assumptions!$C$42*12,(Assumptions!$C$15*Assumptions!$C$38)),(Assumptions!$C$15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M72" s="98" t="n">
        <f aca="false">IF(10&gt;Assumptions!$H$15,0,IF('Pro Forma'!M$26="",0,'Pro Forma'!M$26-(IF(Assumptions!$C$37=1,((Assumptions!$C$15*Assumptions!$C$38)*Assumptions!$C$40),IF(Assumptions!$C$37=2,(-PMT(Assumptions!$C$40/12,Assumptions!$C$42*12,(Assumptions!$C$15*Assumptions!$C$38))*12),IF(10&lt;=Assumptions!$C$41,((Assumptions!$C$15*Assumptions!$C$38)*Assumptions!$C$40),(-PMT(Assumptions!$C$40/12,Assumptions!$C$42*12,(Assumptions!$C$15*Assumptions!$C$38))*12)))))-Assumptions!$C$58-IF(Assumptions!$C$28=1,IF(10=1,Assumptions!$C$26,0),Assumptions!$C$26/Assumptions!$H$15)-Assumptions!$C$33)+IF(10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Assumptions!$C$38),IF(Assumptions!$C$37=2,(-FV(Assumptions!$C$40/12,Assumptions!$H$15*12,PMT(Assumptions!$C$40/12,Assumptions!$C$42*12,(Assumptions!$C$15*Assumptions!$C$38)),(Assumptions!$C$15*Assumptions!$C$38))),(-FV(Assumptions!$C$40/12,MAX(0,Assumptions!$H$15-Assumptions!$C$41)*12,PMT(Assumptions!$C$40/12,Assumptions!$C$42*12,(Assumptions!$C$15*Assumptions!$C$38)),(Assumptions!$C$15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N72" s="99" t="n">
        <f aca="false">IFERROR(IRR(C72:M72),0)</f>
        <v>0</v>
      </c>
    </row>
    <row r="73" customFormat="false" ht="15" hidden="false" customHeight="true" outlineLevel="0" collapsed="false">
      <c r="C73" s="98" t="n">
        <f aca="false">-(((Assumptions!$C$15*(1-0.1))*(1+Assumptions!$C$18))-((Assumptions!$C$15*(1-0.1))*(Assumptions!$C$38-0.1)))</f>
        <v>-0</v>
      </c>
      <c r="D73" s="98" t="n">
        <f aca="false">IF(1&gt;Assumptions!$H$15,0,IF('Pro Forma'!D$26="",0,'Pro Forma'!D$26-(IF(Assumptions!$C$37=1,((Assumptions!$C$15*(Assumptions!$C$38+0.05))*Assumptions!$C$40),IF(Assumptions!$C$37=2,(-PMT(Assumptions!$C$40/12,Assumptions!$C$42*12,(Assumptions!$C$15*(Assumptions!$C$38+0.05)))*12),IF(1&lt;=Assumptions!$C$41,((Assumptions!$C$15*(Assumptions!$C$38+0.05))*Assumptions!$C$40),(-PMT(Assumptions!$C$40/12,Assumptions!$C$42*12,(Assumptions!$C$15*(Assumptions!$C$38+0.05)))*12)))))-Assumptions!$C$58-IF(Assumptions!$C$28=1,IF(1=1,Assumptions!$C$26,0),Assumptions!$C$26/Assumptions!$H$15)-Assumptions!$C$33)+IF(1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+0.05)),IF(Assumptions!$C$37=2,(-FV(Assumptions!$C$40/12,Assumptions!$H$15*12,PMT(Assumptions!$C$40/12,Assumptions!$C$42*12,(Assumptions!$C$15*(Assumptions!$C$38+0.05))),(Assumptions!$C$15*(Assumptions!$C$38+0.05)))),(-FV(Assumptions!$C$40/12,MAX(0,Assumptions!$H$15-Assumptions!$C$41)*12,PMT(Assumptions!$C$40/12,Assumptions!$C$42*12,(Assumptions!$C$15*(Assumptions!$C$38+0.05))),(Assumptions!$C$15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E73" s="98" t="n">
        <f aca="false">IF(2&gt;Assumptions!$H$15,0,IF('Pro Forma'!E$26="",0,'Pro Forma'!E$26-(IF(Assumptions!$C$37=1,((Assumptions!$C$15*(Assumptions!$C$38+0.05))*Assumptions!$C$40),IF(Assumptions!$C$37=2,(-PMT(Assumptions!$C$40/12,Assumptions!$C$42*12,(Assumptions!$C$15*(Assumptions!$C$38+0.05)))*12),IF(2&lt;=Assumptions!$C$41,((Assumptions!$C$15*(Assumptions!$C$38+0.05))*Assumptions!$C$40),(-PMT(Assumptions!$C$40/12,Assumptions!$C$42*12,(Assumptions!$C$15*(Assumptions!$C$38+0.05)))*12)))))-Assumptions!$C$58-IF(Assumptions!$C$28=1,IF(2=1,Assumptions!$C$26,0),Assumptions!$C$26/Assumptions!$H$15)-Assumptions!$C$33)+IF(2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+0.05)),IF(Assumptions!$C$37=2,(-FV(Assumptions!$C$40/12,Assumptions!$H$15*12,PMT(Assumptions!$C$40/12,Assumptions!$C$42*12,(Assumptions!$C$15*(Assumptions!$C$38+0.05))),(Assumptions!$C$15*(Assumptions!$C$38+0.05)))),(-FV(Assumptions!$C$40/12,MAX(0,Assumptions!$H$15-Assumptions!$C$41)*12,PMT(Assumptions!$C$40/12,Assumptions!$C$42*12,(Assumptions!$C$15*(Assumptions!$C$38+0.05))),(Assumptions!$C$15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F73" s="98" t="n">
        <f aca="false">IF(3&gt;Assumptions!$H$15,0,IF('Pro Forma'!F$26="",0,'Pro Forma'!F$26-(IF(Assumptions!$C$37=1,((Assumptions!$C$15*(Assumptions!$C$38+0.05))*Assumptions!$C$40),IF(Assumptions!$C$37=2,(-PMT(Assumptions!$C$40/12,Assumptions!$C$42*12,(Assumptions!$C$15*(Assumptions!$C$38+0.05)))*12),IF(3&lt;=Assumptions!$C$41,((Assumptions!$C$15*(Assumptions!$C$38+0.05))*Assumptions!$C$40),(-PMT(Assumptions!$C$40/12,Assumptions!$C$42*12,(Assumptions!$C$15*(Assumptions!$C$38+0.05)))*12)))))-Assumptions!$C$58-IF(Assumptions!$C$28=1,IF(3=1,Assumptions!$C$26,0),Assumptions!$C$26/Assumptions!$H$15)-Assumptions!$C$33)+IF(3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+0.05)),IF(Assumptions!$C$37=2,(-FV(Assumptions!$C$40/12,Assumptions!$H$15*12,PMT(Assumptions!$C$40/12,Assumptions!$C$42*12,(Assumptions!$C$15*(Assumptions!$C$38+0.05))),(Assumptions!$C$15*(Assumptions!$C$38+0.05)))),(-FV(Assumptions!$C$40/12,MAX(0,Assumptions!$H$15-Assumptions!$C$41)*12,PMT(Assumptions!$C$40/12,Assumptions!$C$42*12,(Assumptions!$C$15*(Assumptions!$C$38+0.05))),(Assumptions!$C$15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G73" s="98" t="n">
        <f aca="false">IF(4&gt;Assumptions!$H$15,0,IF('Pro Forma'!G$26="",0,'Pro Forma'!G$26-(IF(Assumptions!$C$37=1,((Assumptions!$C$15*(Assumptions!$C$38+0.05))*Assumptions!$C$40),IF(Assumptions!$C$37=2,(-PMT(Assumptions!$C$40/12,Assumptions!$C$42*12,(Assumptions!$C$15*(Assumptions!$C$38+0.05)))*12),IF(4&lt;=Assumptions!$C$41,((Assumptions!$C$15*(Assumptions!$C$38+0.05))*Assumptions!$C$40),(-PMT(Assumptions!$C$40/12,Assumptions!$C$42*12,(Assumptions!$C$15*(Assumptions!$C$38+0.05)))*12)))))-Assumptions!$C$58-IF(Assumptions!$C$28=1,IF(4=1,Assumptions!$C$26,0),Assumptions!$C$26/Assumptions!$H$15)-Assumptions!$C$33)+IF(4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+0.05)),IF(Assumptions!$C$37=2,(-FV(Assumptions!$C$40/12,Assumptions!$H$15*12,PMT(Assumptions!$C$40/12,Assumptions!$C$42*12,(Assumptions!$C$15*(Assumptions!$C$38+0.05))),(Assumptions!$C$15*(Assumptions!$C$38+0.05)))),(-FV(Assumptions!$C$40/12,MAX(0,Assumptions!$H$15-Assumptions!$C$41)*12,PMT(Assumptions!$C$40/12,Assumptions!$C$42*12,(Assumptions!$C$15*(Assumptions!$C$38+0.05))),(Assumptions!$C$15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H73" s="98" t="n">
        <f aca="false">IF(5&gt;Assumptions!$H$15,0,IF('Pro Forma'!H$26="",0,'Pro Forma'!H$26-(IF(Assumptions!$C$37=1,((Assumptions!$C$15*(Assumptions!$C$38+0.05))*Assumptions!$C$40),IF(Assumptions!$C$37=2,(-PMT(Assumptions!$C$40/12,Assumptions!$C$42*12,(Assumptions!$C$15*(Assumptions!$C$38+0.05)))*12),IF(5&lt;=Assumptions!$C$41,((Assumptions!$C$15*(Assumptions!$C$38+0.05))*Assumptions!$C$40),(-PMT(Assumptions!$C$40/12,Assumptions!$C$42*12,(Assumptions!$C$15*(Assumptions!$C$38+0.05)))*12)))))-Assumptions!$C$58-IF(Assumptions!$C$28=1,IF(5=1,Assumptions!$C$26,0),Assumptions!$C$26/Assumptions!$H$15)-Assumptions!$C$33)+IF(5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+0.05)),IF(Assumptions!$C$37=2,(-FV(Assumptions!$C$40/12,Assumptions!$H$15*12,PMT(Assumptions!$C$40/12,Assumptions!$C$42*12,(Assumptions!$C$15*(Assumptions!$C$38+0.05))),(Assumptions!$C$15*(Assumptions!$C$38+0.05)))),(-FV(Assumptions!$C$40/12,MAX(0,Assumptions!$H$15-Assumptions!$C$41)*12,PMT(Assumptions!$C$40/12,Assumptions!$C$42*12,(Assumptions!$C$15*(Assumptions!$C$38+0.05))),(Assumptions!$C$15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I73" s="98" t="n">
        <f aca="false">IF(6&gt;Assumptions!$H$15,0,IF('Pro Forma'!I$26="",0,'Pro Forma'!I$26-(IF(Assumptions!$C$37=1,((Assumptions!$C$15*(Assumptions!$C$38+0.05))*Assumptions!$C$40),IF(Assumptions!$C$37=2,(-PMT(Assumptions!$C$40/12,Assumptions!$C$42*12,(Assumptions!$C$15*(Assumptions!$C$38+0.05)))*12),IF(6&lt;=Assumptions!$C$41,((Assumptions!$C$15*(Assumptions!$C$38+0.05))*Assumptions!$C$40),(-PMT(Assumptions!$C$40/12,Assumptions!$C$42*12,(Assumptions!$C$15*(Assumptions!$C$38+0.05)))*12)))))-Assumptions!$C$58-IF(Assumptions!$C$28=1,IF(6=1,Assumptions!$C$26,0),Assumptions!$C$26/Assumptions!$H$15)-Assumptions!$C$33)+IF(6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+0.05)),IF(Assumptions!$C$37=2,(-FV(Assumptions!$C$40/12,Assumptions!$H$15*12,PMT(Assumptions!$C$40/12,Assumptions!$C$42*12,(Assumptions!$C$15*(Assumptions!$C$38+0.05))),(Assumptions!$C$15*(Assumptions!$C$38+0.05)))),(-FV(Assumptions!$C$40/12,MAX(0,Assumptions!$H$15-Assumptions!$C$41)*12,PMT(Assumptions!$C$40/12,Assumptions!$C$42*12,(Assumptions!$C$15*(Assumptions!$C$38+0.05))),(Assumptions!$C$15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J73" s="98" t="n">
        <f aca="false">IF(7&gt;Assumptions!$H$15,0,IF('Pro Forma'!J$26="",0,'Pro Forma'!J$26-(IF(Assumptions!$C$37=1,((Assumptions!$C$15*(Assumptions!$C$38+0.05))*Assumptions!$C$40),IF(Assumptions!$C$37=2,(-PMT(Assumptions!$C$40/12,Assumptions!$C$42*12,(Assumptions!$C$15*(Assumptions!$C$38+0.05)))*12),IF(7&lt;=Assumptions!$C$41,((Assumptions!$C$15*(Assumptions!$C$38+0.05))*Assumptions!$C$40),(-PMT(Assumptions!$C$40/12,Assumptions!$C$42*12,(Assumptions!$C$15*(Assumptions!$C$38+0.05)))*12)))))-Assumptions!$C$58-IF(Assumptions!$C$28=1,IF(7=1,Assumptions!$C$26,0),Assumptions!$C$26/Assumptions!$H$15)-Assumptions!$C$33)+IF(7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+0.05)),IF(Assumptions!$C$37=2,(-FV(Assumptions!$C$40/12,Assumptions!$H$15*12,PMT(Assumptions!$C$40/12,Assumptions!$C$42*12,(Assumptions!$C$15*(Assumptions!$C$38+0.05))),(Assumptions!$C$15*(Assumptions!$C$38+0.05)))),(-FV(Assumptions!$C$40/12,MAX(0,Assumptions!$H$15-Assumptions!$C$41)*12,PMT(Assumptions!$C$40/12,Assumptions!$C$42*12,(Assumptions!$C$15*(Assumptions!$C$38+0.05))),(Assumptions!$C$15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K73" s="98" t="n">
        <f aca="false">IF(8&gt;Assumptions!$H$15,0,IF('Pro Forma'!K$26="",0,'Pro Forma'!K$26-(IF(Assumptions!$C$37=1,((Assumptions!$C$15*(Assumptions!$C$38+0.05))*Assumptions!$C$40),IF(Assumptions!$C$37=2,(-PMT(Assumptions!$C$40/12,Assumptions!$C$42*12,(Assumptions!$C$15*(Assumptions!$C$38+0.05)))*12),IF(8&lt;=Assumptions!$C$41,((Assumptions!$C$15*(Assumptions!$C$38+0.05))*Assumptions!$C$40),(-PMT(Assumptions!$C$40/12,Assumptions!$C$42*12,(Assumptions!$C$15*(Assumptions!$C$38+0.05)))*12)))))-Assumptions!$C$58-IF(Assumptions!$C$28=1,IF(8=1,Assumptions!$C$26,0),Assumptions!$C$26/Assumptions!$H$15)-Assumptions!$C$33)+IF(8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+0.05)),IF(Assumptions!$C$37=2,(-FV(Assumptions!$C$40/12,Assumptions!$H$15*12,PMT(Assumptions!$C$40/12,Assumptions!$C$42*12,(Assumptions!$C$15*(Assumptions!$C$38+0.05))),(Assumptions!$C$15*(Assumptions!$C$38+0.05)))),(-FV(Assumptions!$C$40/12,MAX(0,Assumptions!$H$15-Assumptions!$C$41)*12,PMT(Assumptions!$C$40/12,Assumptions!$C$42*12,(Assumptions!$C$15*(Assumptions!$C$38+0.05))),(Assumptions!$C$15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L73" s="98" t="n">
        <f aca="false">IF(9&gt;Assumptions!$H$15,0,IF('Pro Forma'!L$26="",0,'Pro Forma'!L$26-(IF(Assumptions!$C$37=1,((Assumptions!$C$15*(Assumptions!$C$38+0.05))*Assumptions!$C$40),IF(Assumptions!$C$37=2,(-PMT(Assumptions!$C$40/12,Assumptions!$C$42*12,(Assumptions!$C$15*(Assumptions!$C$38+0.05)))*12),IF(9&lt;=Assumptions!$C$41,((Assumptions!$C$15*(Assumptions!$C$38+0.05))*Assumptions!$C$40),(-PMT(Assumptions!$C$40/12,Assumptions!$C$42*12,(Assumptions!$C$15*(Assumptions!$C$38+0.05)))*12)))))-Assumptions!$C$58-IF(Assumptions!$C$28=1,IF(9=1,Assumptions!$C$26,0),Assumptions!$C$26/Assumptions!$H$15)-Assumptions!$C$33)+IF(9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+0.05)),IF(Assumptions!$C$37=2,(-FV(Assumptions!$C$40/12,Assumptions!$H$15*12,PMT(Assumptions!$C$40/12,Assumptions!$C$42*12,(Assumptions!$C$15*(Assumptions!$C$38+0.05))),(Assumptions!$C$15*(Assumptions!$C$38+0.05)))),(-FV(Assumptions!$C$40/12,MAX(0,Assumptions!$H$15-Assumptions!$C$41)*12,PMT(Assumptions!$C$40/12,Assumptions!$C$42*12,(Assumptions!$C$15*(Assumptions!$C$38+0.05))),(Assumptions!$C$15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M73" s="98" t="n">
        <f aca="false">IF(10&gt;Assumptions!$H$15,0,IF('Pro Forma'!M$26="",0,'Pro Forma'!M$26-(IF(Assumptions!$C$37=1,((Assumptions!$C$15*(Assumptions!$C$38+0.05))*Assumptions!$C$40),IF(Assumptions!$C$37=2,(-PMT(Assumptions!$C$40/12,Assumptions!$C$42*12,(Assumptions!$C$15*(Assumptions!$C$38+0.05)))*12),IF(10&lt;=Assumptions!$C$41,((Assumptions!$C$15*(Assumptions!$C$38+0.05))*Assumptions!$C$40),(-PMT(Assumptions!$C$40/12,Assumptions!$C$42*12,(Assumptions!$C$15*(Assumptions!$C$38+0.05)))*12)))))-Assumptions!$C$58-IF(Assumptions!$C$28=1,IF(10=1,Assumptions!$C$26,0),Assumptions!$C$26/Assumptions!$H$15)-Assumptions!$C$33)+IF(10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+0.05)),IF(Assumptions!$C$37=2,(-FV(Assumptions!$C$40/12,Assumptions!$H$15*12,PMT(Assumptions!$C$40/12,Assumptions!$C$42*12,(Assumptions!$C$15*(Assumptions!$C$38+0.05))),(Assumptions!$C$15*(Assumptions!$C$38+0.05)))),(-FV(Assumptions!$C$40/12,MAX(0,Assumptions!$H$15-Assumptions!$C$41)*12,PMT(Assumptions!$C$40/12,Assumptions!$C$42*12,(Assumptions!$C$15*(Assumptions!$C$38+0.05))),(Assumptions!$C$15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N73" s="99" t="n">
        <f aca="false">IFERROR(IRR(C73:M73),0)</f>
        <v>0</v>
      </c>
    </row>
    <row r="74" customFormat="false" ht="15" hidden="false" customHeight="true" outlineLevel="0" collapsed="false">
      <c r="C74" s="98" t="n">
        <f aca="false">-(((Assumptions!$C$15*(1-0.1))*(1+Assumptions!$C$18))-((Assumptions!$C$15*(1-0.1))*(Assumptions!$C$38-0.1)))</f>
        <v>-0</v>
      </c>
      <c r="D74" s="98" t="n">
        <f aca="false">IF(1&gt;Assumptions!$H$15,0,IF('Pro Forma'!D$26="",0,'Pro Forma'!D$26-(IF(Assumptions!$C$37=1,((Assumptions!$C$15*(Assumptions!$C$38+0.1))*Assumptions!$C$40),IF(Assumptions!$C$37=2,(-PMT(Assumptions!$C$40/12,Assumptions!$C$42*12,(Assumptions!$C$15*(Assumptions!$C$38+0.1)))*12),IF(1&lt;=Assumptions!$C$41,((Assumptions!$C$15*(Assumptions!$C$38+0.1))*Assumptions!$C$40),(-PMT(Assumptions!$C$40/12,Assumptions!$C$42*12,(Assumptions!$C$15*(Assumptions!$C$38+0.1)))*12)))))-Assumptions!$C$58-IF(Assumptions!$C$28=1,IF(1=1,Assumptions!$C$26,0),Assumptions!$C$26/Assumptions!$H$15)-Assumptions!$C$33)+IF(1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+0.1)),IF(Assumptions!$C$37=2,(-FV(Assumptions!$C$40/12,Assumptions!$H$15*12,PMT(Assumptions!$C$40/12,Assumptions!$C$42*12,(Assumptions!$C$15*(Assumptions!$C$38+0.1))),(Assumptions!$C$15*(Assumptions!$C$38+0.1)))),(-FV(Assumptions!$C$40/12,MAX(0,Assumptions!$H$15-Assumptions!$C$41)*12,PMT(Assumptions!$C$40/12,Assumptions!$C$42*12,(Assumptions!$C$15*(Assumptions!$C$38+0.1))),(Assumptions!$C$15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E74" s="98" t="n">
        <f aca="false">IF(2&gt;Assumptions!$H$15,0,IF('Pro Forma'!E$26="",0,'Pro Forma'!E$26-(IF(Assumptions!$C$37=1,((Assumptions!$C$15*(Assumptions!$C$38+0.1))*Assumptions!$C$40),IF(Assumptions!$C$37=2,(-PMT(Assumptions!$C$40/12,Assumptions!$C$42*12,(Assumptions!$C$15*(Assumptions!$C$38+0.1)))*12),IF(2&lt;=Assumptions!$C$41,((Assumptions!$C$15*(Assumptions!$C$38+0.1))*Assumptions!$C$40),(-PMT(Assumptions!$C$40/12,Assumptions!$C$42*12,(Assumptions!$C$15*(Assumptions!$C$38+0.1)))*12)))))-Assumptions!$C$58-IF(Assumptions!$C$28=1,IF(2=1,Assumptions!$C$26,0),Assumptions!$C$26/Assumptions!$H$15)-Assumptions!$C$33)+IF(2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+0.1)),IF(Assumptions!$C$37=2,(-FV(Assumptions!$C$40/12,Assumptions!$H$15*12,PMT(Assumptions!$C$40/12,Assumptions!$C$42*12,(Assumptions!$C$15*(Assumptions!$C$38+0.1))),(Assumptions!$C$15*(Assumptions!$C$38+0.1)))),(-FV(Assumptions!$C$40/12,MAX(0,Assumptions!$H$15-Assumptions!$C$41)*12,PMT(Assumptions!$C$40/12,Assumptions!$C$42*12,(Assumptions!$C$15*(Assumptions!$C$38+0.1))),(Assumptions!$C$15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F74" s="98" t="n">
        <f aca="false">IF(3&gt;Assumptions!$H$15,0,IF('Pro Forma'!F$26="",0,'Pro Forma'!F$26-(IF(Assumptions!$C$37=1,((Assumptions!$C$15*(Assumptions!$C$38+0.1))*Assumptions!$C$40),IF(Assumptions!$C$37=2,(-PMT(Assumptions!$C$40/12,Assumptions!$C$42*12,(Assumptions!$C$15*(Assumptions!$C$38+0.1)))*12),IF(3&lt;=Assumptions!$C$41,((Assumptions!$C$15*(Assumptions!$C$38+0.1))*Assumptions!$C$40),(-PMT(Assumptions!$C$40/12,Assumptions!$C$42*12,(Assumptions!$C$15*(Assumptions!$C$38+0.1)))*12)))))-Assumptions!$C$58-IF(Assumptions!$C$28=1,IF(3=1,Assumptions!$C$26,0),Assumptions!$C$26/Assumptions!$H$15)-Assumptions!$C$33)+IF(3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+0.1)),IF(Assumptions!$C$37=2,(-FV(Assumptions!$C$40/12,Assumptions!$H$15*12,PMT(Assumptions!$C$40/12,Assumptions!$C$42*12,(Assumptions!$C$15*(Assumptions!$C$38+0.1))),(Assumptions!$C$15*(Assumptions!$C$38+0.1)))),(-FV(Assumptions!$C$40/12,MAX(0,Assumptions!$H$15-Assumptions!$C$41)*12,PMT(Assumptions!$C$40/12,Assumptions!$C$42*12,(Assumptions!$C$15*(Assumptions!$C$38+0.1))),(Assumptions!$C$15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G74" s="98" t="n">
        <f aca="false">IF(4&gt;Assumptions!$H$15,0,IF('Pro Forma'!G$26="",0,'Pro Forma'!G$26-(IF(Assumptions!$C$37=1,((Assumptions!$C$15*(Assumptions!$C$38+0.1))*Assumptions!$C$40),IF(Assumptions!$C$37=2,(-PMT(Assumptions!$C$40/12,Assumptions!$C$42*12,(Assumptions!$C$15*(Assumptions!$C$38+0.1)))*12),IF(4&lt;=Assumptions!$C$41,((Assumptions!$C$15*(Assumptions!$C$38+0.1))*Assumptions!$C$40),(-PMT(Assumptions!$C$40/12,Assumptions!$C$42*12,(Assumptions!$C$15*(Assumptions!$C$38+0.1)))*12)))))-Assumptions!$C$58-IF(Assumptions!$C$28=1,IF(4=1,Assumptions!$C$26,0),Assumptions!$C$26/Assumptions!$H$15)-Assumptions!$C$33)+IF(4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+0.1)),IF(Assumptions!$C$37=2,(-FV(Assumptions!$C$40/12,Assumptions!$H$15*12,PMT(Assumptions!$C$40/12,Assumptions!$C$42*12,(Assumptions!$C$15*(Assumptions!$C$38+0.1))),(Assumptions!$C$15*(Assumptions!$C$38+0.1)))),(-FV(Assumptions!$C$40/12,MAX(0,Assumptions!$H$15-Assumptions!$C$41)*12,PMT(Assumptions!$C$40/12,Assumptions!$C$42*12,(Assumptions!$C$15*(Assumptions!$C$38+0.1))),(Assumptions!$C$15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H74" s="98" t="n">
        <f aca="false">IF(5&gt;Assumptions!$H$15,0,IF('Pro Forma'!H$26="",0,'Pro Forma'!H$26-(IF(Assumptions!$C$37=1,((Assumptions!$C$15*(Assumptions!$C$38+0.1))*Assumptions!$C$40),IF(Assumptions!$C$37=2,(-PMT(Assumptions!$C$40/12,Assumptions!$C$42*12,(Assumptions!$C$15*(Assumptions!$C$38+0.1)))*12),IF(5&lt;=Assumptions!$C$41,((Assumptions!$C$15*(Assumptions!$C$38+0.1))*Assumptions!$C$40),(-PMT(Assumptions!$C$40/12,Assumptions!$C$42*12,(Assumptions!$C$15*(Assumptions!$C$38+0.1)))*12)))))-Assumptions!$C$58-IF(Assumptions!$C$28=1,IF(5=1,Assumptions!$C$26,0),Assumptions!$C$26/Assumptions!$H$15)-Assumptions!$C$33)+IF(5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+0.1)),IF(Assumptions!$C$37=2,(-FV(Assumptions!$C$40/12,Assumptions!$H$15*12,PMT(Assumptions!$C$40/12,Assumptions!$C$42*12,(Assumptions!$C$15*(Assumptions!$C$38+0.1))),(Assumptions!$C$15*(Assumptions!$C$38+0.1)))),(-FV(Assumptions!$C$40/12,MAX(0,Assumptions!$H$15-Assumptions!$C$41)*12,PMT(Assumptions!$C$40/12,Assumptions!$C$42*12,(Assumptions!$C$15*(Assumptions!$C$38+0.1))),(Assumptions!$C$15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I74" s="98" t="n">
        <f aca="false">IF(6&gt;Assumptions!$H$15,0,IF('Pro Forma'!I$26="",0,'Pro Forma'!I$26-(IF(Assumptions!$C$37=1,((Assumptions!$C$15*(Assumptions!$C$38+0.1))*Assumptions!$C$40),IF(Assumptions!$C$37=2,(-PMT(Assumptions!$C$40/12,Assumptions!$C$42*12,(Assumptions!$C$15*(Assumptions!$C$38+0.1)))*12),IF(6&lt;=Assumptions!$C$41,((Assumptions!$C$15*(Assumptions!$C$38+0.1))*Assumptions!$C$40),(-PMT(Assumptions!$C$40/12,Assumptions!$C$42*12,(Assumptions!$C$15*(Assumptions!$C$38+0.1)))*12)))))-Assumptions!$C$58-IF(Assumptions!$C$28=1,IF(6=1,Assumptions!$C$26,0),Assumptions!$C$26/Assumptions!$H$15)-Assumptions!$C$33)+IF(6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+0.1)),IF(Assumptions!$C$37=2,(-FV(Assumptions!$C$40/12,Assumptions!$H$15*12,PMT(Assumptions!$C$40/12,Assumptions!$C$42*12,(Assumptions!$C$15*(Assumptions!$C$38+0.1))),(Assumptions!$C$15*(Assumptions!$C$38+0.1)))),(-FV(Assumptions!$C$40/12,MAX(0,Assumptions!$H$15-Assumptions!$C$41)*12,PMT(Assumptions!$C$40/12,Assumptions!$C$42*12,(Assumptions!$C$15*(Assumptions!$C$38+0.1))),(Assumptions!$C$15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J74" s="98" t="n">
        <f aca="false">IF(7&gt;Assumptions!$H$15,0,IF('Pro Forma'!J$26="",0,'Pro Forma'!J$26-(IF(Assumptions!$C$37=1,((Assumptions!$C$15*(Assumptions!$C$38+0.1))*Assumptions!$C$40),IF(Assumptions!$C$37=2,(-PMT(Assumptions!$C$40/12,Assumptions!$C$42*12,(Assumptions!$C$15*(Assumptions!$C$38+0.1)))*12),IF(7&lt;=Assumptions!$C$41,((Assumptions!$C$15*(Assumptions!$C$38+0.1))*Assumptions!$C$40),(-PMT(Assumptions!$C$40/12,Assumptions!$C$42*12,(Assumptions!$C$15*(Assumptions!$C$38+0.1)))*12)))))-Assumptions!$C$58-IF(Assumptions!$C$28=1,IF(7=1,Assumptions!$C$26,0),Assumptions!$C$26/Assumptions!$H$15)-Assumptions!$C$33)+IF(7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+0.1)),IF(Assumptions!$C$37=2,(-FV(Assumptions!$C$40/12,Assumptions!$H$15*12,PMT(Assumptions!$C$40/12,Assumptions!$C$42*12,(Assumptions!$C$15*(Assumptions!$C$38+0.1))),(Assumptions!$C$15*(Assumptions!$C$38+0.1)))),(-FV(Assumptions!$C$40/12,MAX(0,Assumptions!$H$15-Assumptions!$C$41)*12,PMT(Assumptions!$C$40/12,Assumptions!$C$42*12,(Assumptions!$C$15*(Assumptions!$C$38+0.1))),(Assumptions!$C$15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K74" s="98" t="n">
        <f aca="false">IF(8&gt;Assumptions!$H$15,0,IF('Pro Forma'!K$26="",0,'Pro Forma'!K$26-(IF(Assumptions!$C$37=1,((Assumptions!$C$15*(Assumptions!$C$38+0.1))*Assumptions!$C$40),IF(Assumptions!$C$37=2,(-PMT(Assumptions!$C$40/12,Assumptions!$C$42*12,(Assumptions!$C$15*(Assumptions!$C$38+0.1)))*12),IF(8&lt;=Assumptions!$C$41,((Assumptions!$C$15*(Assumptions!$C$38+0.1))*Assumptions!$C$40),(-PMT(Assumptions!$C$40/12,Assumptions!$C$42*12,(Assumptions!$C$15*(Assumptions!$C$38+0.1)))*12)))))-Assumptions!$C$58-IF(Assumptions!$C$28=1,IF(8=1,Assumptions!$C$26,0),Assumptions!$C$26/Assumptions!$H$15)-Assumptions!$C$33)+IF(8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+0.1)),IF(Assumptions!$C$37=2,(-FV(Assumptions!$C$40/12,Assumptions!$H$15*12,PMT(Assumptions!$C$40/12,Assumptions!$C$42*12,(Assumptions!$C$15*(Assumptions!$C$38+0.1))),(Assumptions!$C$15*(Assumptions!$C$38+0.1)))),(-FV(Assumptions!$C$40/12,MAX(0,Assumptions!$H$15-Assumptions!$C$41)*12,PMT(Assumptions!$C$40/12,Assumptions!$C$42*12,(Assumptions!$C$15*(Assumptions!$C$38+0.1))),(Assumptions!$C$15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L74" s="98" t="n">
        <f aca="false">IF(9&gt;Assumptions!$H$15,0,IF('Pro Forma'!L$26="",0,'Pro Forma'!L$26-(IF(Assumptions!$C$37=1,((Assumptions!$C$15*(Assumptions!$C$38+0.1))*Assumptions!$C$40),IF(Assumptions!$C$37=2,(-PMT(Assumptions!$C$40/12,Assumptions!$C$42*12,(Assumptions!$C$15*(Assumptions!$C$38+0.1)))*12),IF(9&lt;=Assumptions!$C$41,((Assumptions!$C$15*(Assumptions!$C$38+0.1))*Assumptions!$C$40),(-PMT(Assumptions!$C$40/12,Assumptions!$C$42*12,(Assumptions!$C$15*(Assumptions!$C$38+0.1)))*12)))))-Assumptions!$C$58-IF(Assumptions!$C$28=1,IF(9=1,Assumptions!$C$26,0),Assumptions!$C$26/Assumptions!$H$15)-Assumptions!$C$33)+IF(9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+0.1)),IF(Assumptions!$C$37=2,(-FV(Assumptions!$C$40/12,Assumptions!$H$15*12,PMT(Assumptions!$C$40/12,Assumptions!$C$42*12,(Assumptions!$C$15*(Assumptions!$C$38+0.1))),(Assumptions!$C$15*(Assumptions!$C$38+0.1)))),(-FV(Assumptions!$C$40/12,MAX(0,Assumptions!$H$15-Assumptions!$C$41)*12,PMT(Assumptions!$C$40/12,Assumptions!$C$42*12,(Assumptions!$C$15*(Assumptions!$C$38+0.1))),(Assumptions!$C$15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M74" s="98" t="n">
        <f aca="false">IF(10&gt;Assumptions!$H$15,0,IF('Pro Forma'!M$26="",0,'Pro Forma'!M$26-(IF(Assumptions!$C$37=1,((Assumptions!$C$15*(Assumptions!$C$38+0.1))*Assumptions!$C$40),IF(Assumptions!$C$37=2,(-PMT(Assumptions!$C$40/12,Assumptions!$C$42*12,(Assumptions!$C$15*(Assumptions!$C$38+0.1)))*12),IF(10&lt;=Assumptions!$C$41,((Assumptions!$C$15*(Assumptions!$C$38+0.1))*Assumptions!$C$40),(-PMT(Assumptions!$C$40/12,Assumptions!$C$42*12,(Assumptions!$C$15*(Assumptions!$C$38+0.1)))*12)))))-Assumptions!$C$58-IF(Assumptions!$C$28=1,IF(10=1,Assumptions!$C$26,0),Assumptions!$C$26/Assumptions!$H$15)-Assumptions!$C$33)+IF(10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+0.1)),IF(Assumptions!$C$37=2,(-FV(Assumptions!$C$40/12,Assumptions!$H$15*12,PMT(Assumptions!$C$40/12,Assumptions!$C$42*12,(Assumptions!$C$15*(Assumptions!$C$38+0.1))),(Assumptions!$C$15*(Assumptions!$C$38+0.1)))),(-FV(Assumptions!$C$40/12,MAX(0,Assumptions!$H$15-Assumptions!$C$41)*12,PMT(Assumptions!$C$40/12,Assumptions!$C$42*12,(Assumptions!$C$15*(Assumptions!$C$38+0.1))),(Assumptions!$C$15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N74" s="99" t="n">
        <f aca="false">IFERROR(IRR(C74:M74),0)</f>
        <v>0</v>
      </c>
    </row>
    <row r="75" customFormat="false" ht="15" hidden="false" customHeight="true" outlineLevel="0" collapsed="false">
      <c r="C75" s="98" t="n">
        <f aca="false">-(((Assumptions!$C$15*(1-0.1))*(1+Assumptions!$C$18))-((Assumptions!$C$15*(1-0.1))*(Assumptions!$C$38-0.1)))</f>
        <v>-0</v>
      </c>
      <c r="D75" s="98" t="n">
        <f aca="false">IF(1&gt;Assumptions!$H$15,0,IF('Pro Forma'!D$26="",0,'Pro Forma'!D$26-(IF(Assumptions!$C$37=1,(((Assumptions!$C$15*(1+0.05))*(Assumptions!$C$38-0.1))*Assumptions!$C$40),IF(Assumptions!$C$37=2,(-PMT(Assumptions!$C$40/12,Assumptions!$C$42*12,((Assumptions!$C$15*(1+0.05))*(Assumptions!$C$38-0.1)))*12),IF(1&lt;=Assumptions!$C$41,(((Assumptions!$C$15*(1+0.05))*(Assumptions!$C$38-0.1))*Assumptions!$C$40),(-PMT(Assumptions!$C$40/12,Assumptions!$C$42*12,((Assumptions!$C$15*(1+0.05))*(Assumptions!$C$38-0.1)))*12)))))-Assumptions!$C$58-IF(Assumptions!$C$28=1,IF(1=1,Assumptions!$C$26,0),Assumptions!$C$26/Assumptions!$H$15)-Assumptions!$C$33)+IF(1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$38-0.1)),IF(Assumptions!$C$37=2,(-FV(Assumptions!$C$40/12,Assumptions!$H$15*12,PMT(Assumptions!$C$40/12,Assumptions!$C$42*12,((Assumptions!$C$15*(1+0.05))*(Assumptions!$C$38-0.1))),((Assumptions!$C$15*(1+0.05))*(Assumptions!$C$38-0.1)))),(-FV(Assumptions!$C$40/12,MAX(0,Assumptions!$H$15-Assumptions!$C$41)*12,PMT(Assumptions!$C$40/12,Assumptions!$C$42*12,((Assumptions!$C$15*(1+0.05))*(Assumptions!$C$38-0.1))),((Assumptions!$C$15*(1+0.05)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E75" s="98" t="n">
        <f aca="false">IF(2&gt;Assumptions!$H$15,0,IF('Pro Forma'!E$26="",0,'Pro Forma'!E$26-(IF(Assumptions!$C$37=1,(((Assumptions!$C$15*(1+0.05))*(Assumptions!$C$38-0.1))*Assumptions!$C$40),IF(Assumptions!$C$37=2,(-PMT(Assumptions!$C$40/12,Assumptions!$C$42*12,((Assumptions!$C$15*(1+0.05))*(Assumptions!$C$38-0.1)))*12),IF(2&lt;=Assumptions!$C$41,(((Assumptions!$C$15*(1+0.05))*(Assumptions!$C$38-0.1))*Assumptions!$C$40),(-PMT(Assumptions!$C$40/12,Assumptions!$C$42*12,((Assumptions!$C$15*(1+0.05))*(Assumptions!$C$38-0.1)))*12)))))-Assumptions!$C$58-IF(Assumptions!$C$28=1,IF(2=1,Assumptions!$C$26,0),Assumptions!$C$26/Assumptions!$H$15)-Assumptions!$C$33)+IF(2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$38-0.1)),IF(Assumptions!$C$37=2,(-FV(Assumptions!$C$40/12,Assumptions!$H$15*12,PMT(Assumptions!$C$40/12,Assumptions!$C$42*12,((Assumptions!$C$15*(1+0.05))*(Assumptions!$C$38-0.1))),((Assumptions!$C$15*(1+0.05))*(Assumptions!$C$38-0.1)))),(-FV(Assumptions!$C$40/12,MAX(0,Assumptions!$H$15-Assumptions!$C$41)*12,PMT(Assumptions!$C$40/12,Assumptions!$C$42*12,((Assumptions!$C$15*(1+0.05))*(Assumptions!$C$38-0.1))),((Assumptions!$C$15*(1+0.05)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F75" s="98" t="n">
        <f aca="false">IF(3&gt;Assumptions!$H$15,0,IF('Pro Forma'!F$26="",0,'Pro Forma'!F$26-(IF(Assumptions!$C$37=1,(((Assumptions!$C$15*(1+0.05))*(Assumptions!$C$38-0.1))*Assumptions!$C$40),IF(Assumptions!$C$37=2,(-PMT(Assumptions!$C$40/12,Assumptions!$C$42*12,((Assumptions!$C$15*(1+0.05))*(Assumptions!$C$38-0.1)))*12),IF(3&lt;=Assumptions!$C$41,(((Assumptions!$C$15*(1+0.05))*(Assumptions!$C$38-0.1))*Assumptions!$C$40),(-PMT(Assumptions!$C$40/12,Assumptions!$C$42*12,((Assumptions!$C$15*(1+0.05))*(Assumptions!$C$38-0.1)))*12)))))-Assumptions!$C$58-IF(Assumptions!$C$28=1,IF(3=1,Assumptions!$C$26,0),Assumptions!$C$26/Assumptions!$H$15)-Assumptions!$C$33)+IF(3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$38-0.1)),IF(Assumptions!$C$37=2,(-FV(Assumptions!$C$40/12,Assumptions!$H$15*12,PMT(Assumptions!$C$40/12,Assumptions!$C$42*12,((Assumptions!$C$15*(1+0.05))*(Assumptions!$C$38-0.1))),((Assumptions!$C$15*(1+0.05))*(Assumptions!$C$38-0.1)))),(-FV(Assumptions!$C$40/12,MAX(0,Assumptions!$H$15-Assumptions!$C$41)*12,PMT(Assumptions!$C$40/12,Assumptions!$C$42*12,((Assumptions!$C$15*(1+0.05))*(Assumptions!$C$38-0.1))),((Assumptions!$C$15*(1+0.05)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G75" s="98" t="n">
        <f aca="false">IF(4&gt;Assumptions!$H$15,0,IF('Pro Forma'!G$26="",0,'Pro Forma'!G$26-(IF(Assumptions!$C$37=1,(((Assumptions!$C$15*(1+0.05))*(Assumptions!$C$38-0.1))*Assumptions!$C$40),IF(Assumptions!$C$37=2,(-PMT(Assumptions!$C$40/12,Assumptions!$C$42*12,((Assumptions!$C$15*(1+0.05))*(Assumptions!$C$38-0.1)))*12),IF(4&lt;=Assumptions!$C$41,(((Assumptions!$C$15*(1+0.05))*(Assumptions!$C$38-0.1))*Assumptions!$C$40),(-PMT(Assumptions!$C$40/12,Assumptions!$C$42*12,((Assumptions!$C$15*(1+0.05))*(Assumptions!$C$38-0.1)))*12)))))-Assumptions!$C$58-IF(Assumptions!$C$28=1,IF(4=1,Assumptions!$C$26,0),Assumptions!$C$26/Assumptions!$H$15)-Assumptions!$C$33)+IF(4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$38-0.1)),IF(Assumptions!$C$37=2,(-FV(Assumptions!$C$40/12,Assumptions!$H$15*12,PMT(Assumptions!$C$40/12,Assumptions!$C$42*12,((Assumptions!$C$15*(1+0.05))*(Assumptions!$C$38-0.1))),((Assumptions!$C$15*(1+0.05))*(Assumptions!$C$38-0.1)))),(-FV(Assumptions!$C$40/12,MAX(0,Assumptions!$H$15-Assumptions!$C$41)*12,PMT(Assumptions!$C$40/12,Assumptions!$C$42*12,((Assumptions!$C$15*(1+0.05))*(Assumptions!$C$38-0.1))),((Assumptions!$C$15*(1+0.05)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H75" s="98" t="n">
        <f aca="false">IF(5&gt;Assumptions!$H$15,0,IF('Pro Forma'!H$26="",0,'Pro Forma'!H$26-(IF(Assumptions!$C$37=1,(((Assumptions!$C$15*(1+0.05))*(Assumptions!$C$38-0.1))*Assumptions!$C$40),IF(Assumptions!$C$37=2,(-PMT(Assumptions!$C$40/12,Assumptions!$C$42*12,((Assumptions!$C$15*(1+0.05))*(Assumptions!$C$38-0.1)))*12),IF(5&lt;=Assumptions!$C$41,(((Assumptions!$C$15*(1+0.05))*(Assumptions!$C$38-0.1))*Assumptions!$C$40),(-PMT(Assumptions!$C$40/12,Assumptions!$C$42*12,((Assumptions!$C$15*(1+0.05))*(Assumptions!$C$38-0.1)))*12)))))-Assumptions!$C$58-IF(Assumptions!$C$28=1,IF(5=1,Assumptions!$C$26,0),Assumptions!$C$26/Assumptions!$H$15)-Assumptions!$C$33)+IF(5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$38-0.1)),IF(Assumptions!$C$37=2,(-FV(Assumptions!$C$40/12,Assumptions!$H$15*12,PMT(Assumptions!$C$40/12,Assumptions!$C$42*12,((Assumptions!$C$15*(1+0.05))*(Assumptions!$C$38-0.1))),((Assumptions!$C$15*(1+0.05))*(Assumptions!$C$38-0.1)))),(-FV(Assumptions!$C$40/12,MAX(0,Assumptions!$H$15-Assumptions!$C$41)*12,PMT(Assumptions!$C$40/12,Assumptions!$C$42*12,((Assumptions!$C$15*(1+0.05))*(Assumptions!$C$38-0.1))),((Assumptions!$C$15*(1+0.05)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I75" s="98" t="n">
        <f aca="false">IF(6&gt;Assumptions!$H$15,0,IF('Pro Forma'!I$26="",0,'Pro Forma'!I$26-(IF(Assumptions!$C$37=1,(((Assumptions!$C$15*(1+0.05))*(Assumptions!$C$38-0.1))*Assumptions!$C$40),IF(Assumptions!$C$37=2,(-PMT(Assumptions!$C$40/12,Assumptions!$C$42*12,((Assumptions!$C$15*(1+0.05))*(Assumptions!$C$38-0.1)))*12),IF(6&lt;=Assumptions!$C$41,(((Assumptions!$C$15*(1+0.05))*(Assumptions!$C$38-0.1))*Assumptions!$C$40),(-PMT(Assumptions!$C$40/12,Assumptions!$C$42*12,((Assumptions!$C$15*(1+0.05))*(Assumptions!$C$38-0.1)))*12)))))-Assumptions!$C$58-IF(Assumptions!$C$28=1,IF(6=1,Assumptions!$C$26,0),Assumptions!$C$26/Assumptions!$H$15)-Assumptions!$C$33)+IF(6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$38-0.1)),IF(Assumptions!$C$37=2,(-FV(Assumptions!$C$40/12,Assumptions!$H$15*12,PMT(Assumptions!$C$40/12,Assumptions!$C$42*12,((Assumptions!$C$15*(1+0.05))*(Assumptions!$C$38-0.1))),((Assumptions!$C$15*(1+0.05))*(Assumptions!$C$38-0.1)))),(-FV(Assumptions!$C$40/12,MAX(0,Assumptions!$H$15-Assumptions!$C$41)*12,PMT(Assumptions!$C$40/12,Assumptions!$C$42*12,((Assumptions!$C$15*(1+0.05))*(Assumptions!$C$38-0.1))),((Assumptions!$C$15*(1+0.05)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J75" s="98" t="n">
        <f aca="false">IF(7&gt;Assumptions!$H$15,0,IF('Pro Forma'!J$26="",0,'Pro Forma'!J$26-(IF(Assumptions!$C$37=1,(((Assumptions!$C$15*(1+0.05))*(Assumptions!$C$38-0.1))*Assumptions!$C$40),IF(Assumptions!$C$37=2,(-PMT(Assumptions!$C$40/12,Assumptions!$C$42*12,((Assumptions!$C$15*(1+0.05))*(Assumptions!$C$38-0.1)))*12),IF(7&lt;=Assumptions!$C$41,(((Assumptions!$C$15*(1+0.05))*(Assumptions!$C$38-0.1))*Assumptions!$C$40),(-PMT(Assumptions!$C$40/12,Assumptions!$C$42*12,((Assumptions!$C$15*(1+0.05))*(Assumptions!$C$38-0.1)))*12)))))-Assumptions!$C$58-IF(Assumptions!$C$28=1,IF(7=1,Assumptions!$C$26,0),Assumptions!$C$26/Assumptions!$H$15)-Assumptions!$C$33)+IF(7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$38-0.1)),IF(Assumptions!$C$37=2,(-FV(Assumptions!$C$40/12,Assumptions!$H$15*12,PMT(Assumptions!$C$40/12,Assumptions!$C$42*12,((Assumptions!$C$15*(1+0.05))*(Assumptions!$C$38-0.1))),((Assumptions!$C$15*(1+0.05))*(Assumptions!$C$38-0.1)))),(-FV(Assumptions!$C$40/12,MAX(0,Assumptions!$H$15-Assumptions!$C$41)*12,PMT(Assumptions!$C$40/12,Assumptions!$C$42*12,((Assumptions!$C$15*(1+0.05))*(Assumptions!$C$38-0.1))),((Assumptions!$C$15*(1+0.05)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K75" s="98" t="n">
        <f aca="false">IF(8&gt;Assumptions!$H$15,0,IF('Pro Forma'!K$26="",0,'Pro Forma'!K$26-(IF(Assumptions!$C$37=1,(((Assumptions!$C$15*(1+0.05))*(Assumptions!$C$38-0.1))*Assumptions!$C$40),IF(Assumptions!$C$37=2,(-PMT(Assumptions!$C$40/12,Assumptions!$C$42*12,((Assumptions!$C$15*(1+0.05))*(Assumptions!$C$38-0.1)))*12),IF(8&lt;=Assumptions!$C$41,(((Assumptions!$C$15*(1+0.05))*(Assumptions!$C$38-0.1))*Assumptions!$C$40),(-PMT(Assumptions!$C$40/12,Assumptions!$C$42*12,((Assumptions!$C$15*(1+0.05))*(Assumptions!$C$38-0.1)))*12)))))-Assumptions!$C$58-IF(Assumptions!$C$28=1,IF(8=1,Assumptions!$C$26,0),Assumptions!$C$26/Assumptions!$H$15)-Assumptions!$C$33)+IF(8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$38-0.1)),IF(Assumptions!$C$37=2,(-FV(Assumptions!$C$40/12,Assumptions!$H$15*12,PMT(Assumptions!$C$40/12,Assumptions!$C$42*12,((Assumptions!$C$15*(1+0.05))*(Assumptions!$C$38-0.1))),((Assumptions!$C$15*(1+0.05))*(Assumptions!$C$38-0.1)))),(-FV(Assumptions!$C$40/12,MAX(0,Assumptions!$H$15-Assumptions!$C$41)*12,PMT(Assumptions!$C$40/12,Assumptions!$C$42*12,((Assumptions!$C$15*(1+0.05))*(Assumptions!$C$38-0.1))),((Assumptions!$C$15*(1+0.05)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L75" s="98" t="n">
        <f aca="false">IF(9&gt;Assumptions!$H$15,0,IF('Pro Forma'!L$26="",0,'Pro Forma'!L$26-(IF(Assumptions!$C$37=1,(((Assumptions!$C$15*(1+0.05))*(Assumptions!$C$38-0.1))*Assumptions!$C$40),IF(Assumptions!$C$37=2,(-PMT(Assumptions!$C$40/12,Assumptions!$C$42*12,((Assumptions!$C$15*(1+0.05))*(Assumptions!$C$38-0.1)))*12),IF(9&lt;=Assumptions!$C$41,(((Assumptions!$C$15*(1+0.05))*(Assumptions!$C$38-0.1))*Assumptions!$C$40),(-PMT(Assumptions!$C$40/12,Assumptions!$C$42*12,((Assumptions!$C$15*(1+0.05))*(Assumptions!$C$38-0.1)))*12)))))-Assumptions!$C$58-IF(Assumptions!$C$28=1,IF(9=1,Assumptions!$C$26,0),Assumptions!$C$26/Assumptions!$H$15)-Assumptions!$C$33)+IF(9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$38-0.1)),IF(Assumptions!$C$37=2,(-FV(Assumptions!$C$40/12,Assumptions!$H$15*12,PMT(Assumptions!$C$40/12,Assumptions!$C$42*12,((Assumptions!$C$15*(1+0.05))*(Assumptions!$C$38-0.1))),((Assumptions!$C$15*(1+0.05))*(Assumptions!$C$38-0.1)))),(-FV(Assumptions!$C$40/12,MAX(0,Assumptions!$H$15-Assumptions!$C$41)*12,PMT(Assumptions!$C$40/12,Assumptions!$C$42*12,((Assumptions!$C$15*(1+0.05))*(Assumptions!$C$38-0.1))),((Assumptions!$C$15*(1+0.05)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M75" s="98" t="n">
        <f aca="false">IF(10&gt;Assumptions!$H$15,0,IF('Pro Forma'!M$26="",0,'Pro Forma'!M$26-(IF(Assumptions!$C$37=1,(((Assumptions!$C$15*(1+0.05))*(Assumptions!$C$38-0.1))*Assumptions!$C$40),IF(Assumptions!$C$37=2,(-PMT(Assumptions!$C$40/12,Assumptions!$C$42*12,((Assumptions!$C$15*(1+0.05))*(Assumptions!$C$38-0.1)))*12),IF(10&lt;=Assumptions!$C$41,(((Assumptions!$C$15*(1+0.05))*(Assumptions!$C$38-0.1))*Assumptions!$C$40),(-PMT(Assumptions!$C$40/12,Assumptions!$C$42*12,((Assumptions!$C$15*(1+0.05))*(Assumptions!$C$38-0.1)))*12)))))-Assumptions!$C$58-IF(Assumptions!$C$28=1,IF(10=1,Assumptions!$C$26,0),Assumptions!$C$26/Assumptions!$H$15)-Assumptions!$C$33)+IF(10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$38-0.1)),IF(Assumptions!$C$37=2,(-FV(Assumptions!$C$40/12,Assumptions!$H$15*12,PMT(Assumptions!$C$40/12,Assumptions!$C$42*12,((Assumptions!$C$15*(1+0.05))*(Assumptions!$C$38-0.1))),((Assumptions!$C$15*(1+0.05))*(Assumptions!$C$38-0.1)))),(-FV(Assumptions!$C$40/12,MAX(0,Assumptions!$H$15-Assumptions!$C$41)*12,PMT(Assumptions!$C$40/12,Assumptions!$C$42*12,((Assumptions!$C$15*(1+0.05))*(Assumptions!$C$38-0.1))),((Assumptions!$C$15*(1+0.05)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N75" s="99" t="n">
        <f aca="false">IFERROR(IRR(C75:M75),0)</f>
        <v>0</v>
      </c>
    </row>
    <row r="76" customFormat="false" ht="15" hidden="false" customHeight="true" outlineLevel="0" collapsed="false">
      <c r="C76" s="98" t="n">
        <f aca="false">-(((Assumptions!$C$15*(1-0.1))*(1+Assumptions!$C$18))-((Assumptions!$C$15*(1-0.1))*(Assumptions!$C$38-0.1)))</f>
        <v>-0</v>
      </c>
      <c r="D76" s="98" t="n">
        <f aca="false">IF(1&gt;Assumptions!$H$15,0,IF('Pro Forma'!D$26="",0,'Pro Forma'!D$26-(IF(Assumptions!$C$37=1,(((Assumptions!$C$15*(1+0.05))*(Assumptions!$C$38-0.05))*Assumptions!$C$40),IF(Assumptions!$C$37=2,(-PMT(Assumptions!$C$40/12,Assumptions!$C$42*12,((Assumptions!$C$15*(1+0.05))*(Assumptions!$C$38-0.05)))*12),IF(1&lt;=Assumptions!$C$41,(((Assumptions!$C$15*(1+0.05))*(Assumptions!$C$38-0.05))*Assumptions!$C$40),(-PMT(Assumptions!$C$40/12,Assumptions!$C$42*12,((Assumptions!$C$15*(1+0.05))*(Assumptions!$C$38-0.05)))*12)))))-Assumptions!$C$58-IF(Assumptions!$C$28=1,IF(1=1,Assumptions!$C$26,0),Assumptions!$C$26/Assumptions!$H$15)-Assumptions!$C$33)+IF(1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$38-0.05)),IF(Assumptions!$C$37=2,(-FV(Assumptions!$C$40/12,Assumptions!$H$15*12,PMT(Assumptions!$C$40/12,Assumptions!$C$42*12,((Assumptions!$C$15*(1+0.05))*(Assumptions!$C$38-0.05))),((Assumptions!$C$15*(1+0.05))*(Assumptions!$C$38-0.05)))),(-FV(Assumptions!$C$40/12,MAX(0,Assumptions!$H$15-Assumptions!$C$41)*12,PMT(Assumptions!$C$40/12,Assumptions!$C$42*12,((Assumptions!$C$15*(1+0.05))*(Assumptions!$C$38-0.05))),((Assumptions!$C$15*(1+0.05)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E76" s="98" t="n">
        <f aca="false">IF(2&gt;Assumptions!$H$15,0,IF('Pro Forma'!E$26="",0,'Pro Forma'!E$26-(IF(Assumptions!$C$37=1,(((Assumptions!$C$15*(1+0.05))*(Assumptions!$C$38-0.05))*Assumptions!$C$40),IF(Assumptions!$C$37=2,(-PMT(Assumptions!$C$40/12,Assumptions!$C$42*12,((Assumptions!$C$15*(1+0.05))*(Assumptions!$C$38-0.05)))*12),IF(2&lt;=Assumptions!$C$41,(((Assumptions!$C$15*(1+0.05))*(Assumptions!$C$38-0.05))*Assumptions!$C$40),(-PMT(Assumptions!$C$40/12,Assumptions!$C$42*12,((Assumptions!$C$15*(1+0.05))*(Assumptions!$C$38-0.05)))*12)))))-Assumptions!$C$58-IF(Assumptions!$C$28=1,IF(2=1,Assumptions!$C$26,0),Assumptions!$C$26/Assumptions!$H$15)-Assumptions!$C$33)+IF(2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$38-0.05)),IF(Assumptions!$C$37=2,(-FV(Assumptions!$C$40/12,Assumptions!$H$15*12,PMT(Assumptions!$C$40/12,Assumptions!$C$42*12,((Assumptions!$C$15*(1+0.05))*(Assumptions!$C$38-0.05))),((Assumptions!$C$15*(1+0.05))*(Assumptions!$C$38-0.05)))),(-FV(Assumptions!$C$40/12,MAX(0,Assumptions!$H$15-Assumptions!$C$41)*12,PMT(Assumptions!$C$40/12,Assumptions!$C$42*12,((Assumptions!$C$15*(1+0.05))*(Assumptions!$C$38-0.05))),((Assumptions!$C$15*(1+0.05)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F76" s="98" t="n">
        <f aca="false">IF(3&gt;Assumptions!$H$15,0,IF('Pro Forma'!F$26="",0,'Pro Forma'!F$26-(IF(Assumptions!$C$37=1,(((Assumptions!$C$15*(1+0.05))*(Assumptions!$C$38-0.05))*Assumptions!$C$40),IF(Assumptions!$C$37=2,(-PMT(Assumptions!$C$40/12,Assumptions!$C$42*12,((Assumptions!$C$15*(1+0.05))*(Assumptions!$C$38-0.05)))*12),IF(3&lt;=Assumptions!$C$41,(((Assumptions!$C$15*(1+0.05))*(Assumptions!$C$38-0.05))*Assumptions!$C$40),(-PMT(Assumptions!$C$40/12,Assumptions!$C$42*12,((Assumptions!$C$15*(1+0.05))*(Assumptions!$C$38-0.05)))*12)))))-Assumptions!$C$58-IF(Assumptions!$C$28=1,IF(3=1,Assumptions!$C$26,0),Assumptions!$C$26/Assumptions!$H$15)-Assumptions!$C$33)+IF(3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$38-0.05)),IF(Assumptions!$C$37=2,(-FV(Assumptions!$C$40/12,Assumptions!$H$15*12,PMT(Assumptions!$C$40/12,Assumptions!$C$42*12,((Assumptions!$C$15*(1+0.05))*(Assumptions!$C$38-0.05))),((Assumptions!$C$15*(1+0.05))*(Assumptions!$C$38-0.05)))),(-FV(Assumptions!$C$40/12,MAX(0,Assumptions!$H$15-Assumptions!$C$41)*12,PMT(Assumptions!$C$40/12,Assumptions!$C$42*12,((Assumptions!$C$15*(1+0.05))*(Assumptions!$C$38-0.05))),((Assumptions!$C$15*(1+0.05)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G76" s="98" t="n">
        <f aca="false">IF(4&gt;Assumptions!$H$15,0,IF('Pro Forma'!G$26="",0,'Pro Forma'!G$26-(IF(Assumptions!$C$37=1,(((Assumptions!$C$15*(1+0.05))*(Assumptions!$C$38-0.05))*Assumptions!$C$40),IF(Assumptions!$C$37=2,(-PMT(Assumptions!$C$40/12,Assumptions!$C$42*12,((Assumptions!$C$15*(1+0.05))*(Assumptions!$C$38-0.05)))*12),IF(4&lt;=Assumptions!$C$41,(((Assumptions!$C$15*(1+0.05))*(Assumptions!$C$38-0.05))*Assumptions!$C$40),(-PMT(Assumptions!$C$40/12,Assumptions!$C$42*12,((Assumptions!$C$15*(1+0.05))*(Assumptions!$C$38-0.05)))*12)))))-Assumptions!$C$58-IF(Assumptions!$C$28=1,IF(4=1,Assumptions!$C$26,0),Assumptions!$C$26/Assumptions!$H$15)-Assumptions!$C$33)+IF(4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$38-0.05)),IF(Assumptions!$C$37=2,(-FV(Assumptions!$C$40/12,Assumptions!$H$15*12,PMT(Assumptions!$C$40/12,Assumptions!$C$42*12,((Assumptions!$C$15*(1+0.05))*(Assumptions!$C$38-0.05))),((Assumptions!$C$15*(1+0.05))*(Assumptions!$C$38-0.05)))),(-FV(Assumptions!$C$40/12,MAX(0,Assumptions!$H$15-Assumptions!$C$41)*12,PMT(Assumptions!$C$40/12,Assumptions!$C$42*12,((Assumptions!$C$15*(1+0.05))*(Assumptions!$C$38-0.05))),((Assumptions!$C$15*(1+0.05)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H76" s="98" t="n">
        <f aca="false">IF(5&gt;Assumptions!$H$15,0,IF('Pro Forma'!H$26="",0,'Pro Forma'!H$26-(IF(Assumptions!$C$37=1,(((Assumptions!$C$15*(1+0.05))*(Assumptions!$C$38-0.05))*Assumptions!$C$40),IF(Assumptions!$C$37=2,(-PMT(Assumptions!$C$40/12,Assumptions!$C$42*12,((Assumptions!$C$15*(1+0.05))*(Assumptions!$C$38-0.05)))*12),IF(5&lt;=Assumptions!$C$41,(((Assumptions!$C$15*(1+0.05))*(Assumptions!$C$38-0.05))*Assumptions!$C$40),(-PMT(Assumptions!$C$40/12,Assumptions!$C$42*12,((Assumptions!$C$15*(1+0.05))*(Assumptions!$C$38-0.05)))*12)))))-Assumptions!$C$58-IF(Assumptions!$C$28=1,IF(5=1,Assumptions!$C$26,0),Assumptions!$C$26/Assumptions!$H$15)-Assumptions!$C$33)+IF(5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$38-0.05)),IF(Assumptions!$C$37=2,(-FV(Assumptions!$C$40/12,Assumptions!$H$15*12,PMT(Assumptions!$C$40/12,Assumptions!$C$42*12,((Assumptions!$C$15*(1+0.05))*(Assumptions!$C$38-0.05))),((Assumptions!$C$15*(1+0.05))*(Assumptions!$C$38-0.05)))),(-FV(Assumptions!$C$40/12,MAX(0,Assumptions!$H$15-Assumptions!$C$41)*12,PMT(Assumptions!$C$40/12,Assumptions!$C$42*12,((Assumptions!$C$15*(1+0.05))*(Assumptions!$C$38-0.05))),((Assumptions!$C$15*(1+0.05)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I76" s="98" t="n">
        <f aca="false">IF(6&gt;Assumptions!$H$15,0,IF('Pro Forma'!I$26="",0,'Pro Forma'!I$26-(IF(Assumptions!$C$37=1,(((Assumptions!$C$15*(1+0.05))*(Assumptions!$C$38-0.05))*Assumptions!$C$40),IF(Assumptions!$C$37=2,(-PMT(Assumptions!$C$40/12,Assumptions!$C$42*12,((Assumptions!$C$15*(1+0.05))*(Assumptions!$C$38-0.05)))*12),IF(6&lt;=Assumptions!$C$41,(((Assumptions!$C$15*(1+0.05))*(Assumptions!$C$38-0.05))*Assumptions!$C$40),(-PMT(Assumptions!$C$40/12,Assumptions!$C$42*12,((Assumptions!$C$15*(1+0.05))*(Assumptions!$C$38-0.05)))*12)))))-Assumptions!$C$58-IF(Assumptions!$C$28=1,IF(6=1,Assumptions!$C$26,0),Assumptions!$C$26/Assumptions!$H$15)-Assumptions!$C$33)+IF(6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$38-0.05)),IF(Assumptions!$C$37=2,(-FV(Assumptions!$C$40/12,Assumptions!$H$15*12,PMT(Assumptions!$C$40/12,Assumptions!$C$42*12,((Assumptions!$C$15*(1+0.05))*(Assumptions!$C$38-0.05))),((Assumptions!$C$15*(1+0.05))*(Assumptions!$C$38-0.05)))),(-FV(Assumptions!$C$40/12,MAX(0,Assumptions!$H$15-Assumptions!$C$41)*12,PMT(Assumptions!$C$40/12,Assumptions!$C$42*12,((Assumptions!$C$15*(1+0.05))*(Assumptions!$C$38-0.05))),((Assumptions!$C$15*(1+0.05)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J76" s="98" t="n">
        <f aca="false">IF(7&gt;Assumptions!$H$15,0,IF('Pro Forma'!J$26="",0,'Pro Forma'!J$26-(IF(Assumptions!$C$37=1,(((Assumptions!$C$15*(1+0.05))*(Assumptions!$C$38-0.05))*Assumptions!$C$40),IF(Assumptions!$C$37=2,(-PMT(Assumptions!$C$40/12,Assumptions!$C$42*12,((Assumptions!$C$15*(1+0.05))*(Assumptions!$C$38-0.05)))*12),IF(7&lt;=Assumptions!$C$41,(((Assumptions!$C$15*(1+0.05))*(Assumptions!$C$38-0.05))*Assumptions!$C$40),(-PMT(Assumptions!$C$40/12,Assumptions!$C$42*12,((Assumptions!$C$15*(1+0.05))*(Assumptions!$C$38-0.05)))*12)))))-Assumptions!$C$58-IF(Assumptions!$C$28=1,IF(7=1,Assumptions!$C$26,0),Assumptions!$C$26/Assumptions!$H$15)-Assumptions!$C$33)+IF(7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$38-0.05)),IF(Assumptions!$C$37=2,(-FV(Assumptions!$C$40/12,Assumptions!$H$15*12,PMT(Assumptions!$C$40/12,Assumptions!$C$42*12,((Assumptions!$C$15*(1+0.05))*(Assumptions!$C$38-0.05))),((Assumptions!$C$15*(1+0.05))*(Assumptions!$C$38-0.05)))),(-FV(Assumptions!$C$40/12,MAX(0,Assumptions!$H$15-Assumptions!$C$41)*12,PMT(Assumptions!$C$40/12,Assumptions!$C$42*12,((Assumptions!$C$15*(1+0.05))*(Assumptions!$C$38-0.05))),((Assumptions!$C$15*(1+0.05)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K76" s="98" t="n">
        <f aca="false">IF(8&gt;Assumptions!$H$15,0,IF('Pro Forma'!K$26="",0,'Pro Forma'!K$26-(IF(Assumptions!$C$37=1,(((Assumptions!$C$15*(1+0.05))*(Assumptions!$C$38-0.05))*Assumptions!$C$40),IF(Assumptions!$C$37=2,(-PMT(Assumptions!$C$40/12,Assumptions!$C$42*12,((Assumptions!$C$15*(1+0.05))*(Assumptions!$C$38-0.05)))*12),IF(8&lt;=Assumptions!$C$41,(((Assumptions!$C$15*(1+0.05))*(Assumptions!$C$38-0.05))*Assumptions!$C$40),(-PMT(Assumptions!$C$40/12,Assumptions!$C$42*12,((Assumptions!$C$15*(1+0.05))*(Assumptions!$C$38-0.05)))*12)))))-Assumptions!$C$58-IF(Assumptions!$C$28=1,IF(8=1,Assumptions!$C$26,0),Assumptions!$C$26/Assumptions!$H$15)-Assumptions!$C$33)+IF(8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$38-0.05)),IF(Assumptions!$C$37=2,(-FV(Assumptions!$C$40/12,Assumptions!$H$15*12,PMT(Assumptions!$C$40/12,Assumptions!$C$42*12,((Assumptions!$C$15*(1+0.05))*(Assumptions!$C$38-0.05))),((Assumptions!$C$15*(1+0.05))*(Assumptions!$C$38-0.05)))),(-FV(Assumptions!$C$40/12,MAX(0,Assumptions!$H$15-Assumptions!$C$41)*12,PMT(Assumptions!$C$40/12,Assumptions!$C$42*12,((Assumptions!$C$15*(1+0.05))*(Assumptions!$C$38-0.05))),((Assumptions!$C$15*(1+0.05)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L76" s="98" t="n">
        <f aca="false">IF(9&gt;Assumptions!$H$15,0,IF('Pro Forma'!L$26="",0,'Pro Forma'!L$26-(IF(Assumptions!$C$37=1,(((Assumptions!$C$15*(1+0.05))*(Assumptions!$C$38-0.05))*Assumptions!$C$40),IF(Assumptions!$C$37=2,(-PMT(Assumptions!$C$40/12,Assumptions!$C$42*12,((Assumptions!$C$15*(1+0.05))*(Assumptions!$C$38-0.05)))*12),IF(9&lt;=Assumptions!$C$41,(((Assumptions!$C$15*(1+0.05))*(Assumptions!$C$38-0.05))*Assumptions!$C$40),(-PMT(Assumptions!$C$40/12,Assumptions!$C$42*12,((Assumptions!$C$15*(1+0.05))*(Assumptions!$C$38-0.05)))*12)))))-Assumptions!$C$58-IF(Assumptions!$C$28=1,IF(9=1,Assumptions!$C$26,0),Assumptions!$C$26/Assumptions!$H$15)-Assumptions!$C$33)+IF(9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$38-0.05)),IF(Assumptions!$C$37=2,(-FV(Assumptions!$C$40/12,Assumptions!$H$15*12,PMT(Assumptions!$C$40/12,Assumptions!$C$42*12,((Assumptions!$C$15*(1+0.05))*(Assumptions!$C$38-0.05))),((Assumptions!$C$15*(1+0.05))*(Assumptions!$C$38-0.05)))),(-FV(Assumptions!$C$40/12,MAX(0,Assumptions!$H$15-Assumptions!$C$41)*12,PMT(Assumptions!$C$40/12,Assumptions!$C$42*12,((Assumptions!$C$15*(1+0.05))*(Assumptions!$C$38-0.05))),((Assumptions!$C$15*(1+0.05)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M76" s="98" t="n">
        <f aca="false">IF(10&gt;Assumptions!$H$15,0,IF('Pro Forma'!M$26="",0,'Pro Forma'!M$26-(IF(Assumptions!$C$37=1,(((Assumptions!$C$15*(1+0.05))*(Assumptions!$C$38-0.05))*Assumptions!$C$40),IF(Assumptions!$C$37=2,(-PMT(Assumptions!$C$40/12,Assumptions!$C$42*12,((Assumptions!$C$15*(1+0.05))*(Assumptions!$C$38-0.05)))*12),IF(10&lt;=Assumptions!$C$41,(((Assumptions!$C$15*(1+0.05))*(Assumptions!$C$38-0.05))*Assumptions!$C$40),(-PMT(Assumptions!$C$40/12,Assumptions!$C$42*12,((Assumptions!$C$15*(1+0.05))*(Assumptions!$C$38-0.05)))*12)))))-Assumptions!$C$58-IF(Assumptions!$C$28=1,IF(10=1,Assumptions!$C$26,0),Assumptions!$C$26/Assumptions!$H$15)-Assumptions!$C$33)+IF(10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$38-0.05)),IF(Assumptions!$C$37=2,(-FV(Assumptions!$C$40/12,Assumptions!$H$15*12,PMT(Assumptions!$C$40/12,Assumptions!$C$42*12,((Assumptions!$C$15*(1+0.05))*(Assumptions!$C$38-0.05))),((Assumptions!$C$15*(1+0.05))*(Assumptions!$C$38-0.05)))),(-FV(Assumptions!$C$40/12,MAX(0,Assumptions!$H$15-Assumptions!$C$41)*12,PMT(Assumptions!$C$40/12,Assumptions!$C$42*12,((Assumptions!$C$15*(1+0.05))*(Assumptions!$C$38-0.05))),((Assumptions!$C$15*(1+0.05)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N76" s="99" t="n">
        <f aca="false">IFERROR(IRR(C76:M76),0)</f>
        <v>0</v>
      </c>
    </row>
    <row r="77" customFormat="false" ht="15" hidden="false" customHeight="true" outlineLevel="0" collapsed="false">
      <c r="C77" s="98" t="n">
        <f aca="false">-(((Assumptions!$C$15*(1-0.1))*(1+Assumptions!$C$18))-((Assumptions!$C$15*(1-0.1))*(Assumptions!$C$38-0.1)))</f>
        <v>-0</v>
      </c>
      <c r="D77" s="98" t="n">
        <f aca="false">IF(1&gt;Assumptions!$H$15,0,IF('Pro Forma'!D$26="",0,'Pro Forma'!D$26-(IF(Assumptions!$C$37=1,(((Assumptions!$C$15*(1+0.05))*Assumptions!$C$38)*Assumptions!$C$40),IF(Assumptions!$C$37=2,(-PMT(Assumptions!$C$40/12,Assumptions!$C$42*12,((Assumptions!$C$15*(1+0.05))*Assumptions!$C$38))*12),IF(1&lt;=Assumptions!$C$41,(((Assumptions!$C$15*(1+0.05))*Assumptions!$C$38)*Assumptions!$C$40),(-PMT(Assumptions!$C$40/12,Assumptions!$C$42*12,((Assumptions!$C$15*(1+0.05))*Assumptions!$C$38))*12)))))-Assumptions!$C$58-IF(Assumptions!$C$28=1,IF(1=1,Assumptions!$C$26,0),Assumptions!$C$26/Assumptions!$H$15)-Assumptions!$C$33)+IF(1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Assumptions!$C$38),IF(Assumptions!$C$37=2,(-FV(Assumptions!$C$40/12,Assumptions!$H$15*12,PMT(Assumptions!$C$40/12,Assumptions!$C$42*12,((Assumptions!$C$15*(1+0.05))*Assumptions!$C$38)),((Assumptions!$C$15*(1+0.05))*Assumptions!$C$38))),(-FV(Assumptions!$C$40/12,MAX(0,Assumptions!$H$15-Assumptions!$C$41)*12,PMT(Assumptions!$C$40/12,Assumptions!$C$42*12,((Assumptions!$C$15*(1+0.05))*Assumptions!$C$38)),((Assumptions!$C$15*(1+0.05)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E77" s="98" t="n">
        <f aca="false">IF(2&gt;Assumptions!$H$15,0,IF('Pro Forma'!E$26="",0,'Pro Forma'!E$26-(IF(Assumptions!$C$37=1,(((Assumptions!$C$15*(1+0.05))*Assumptions!$C$38)*Assumptions!$C$40),IF(Assumptions!$C$37=2,(-PMT(Assumptions!$C$40/12,Assumptions!$C$42*12,((Assumptions!$C$15*(1+0.05))*Assumptions!$C$38))*12),IF(2&lt;=Assumptions!$C$41,(((Assumptions!$C$15*(1+0.05))*Assumptions!$C$38)*Assumptions!$C$40),(-PMT(Assumptions!$C$40/12,Assumptions!$C$42*12,((Assumptions!$C$15*(1+0.05))*Assumptions!$C$38))*12)))))-Assumptions!$C$58-IF(Assumptions!$C$28=1,IF(2=1,Assumptions!$C$26,0),Assumptions!$C$26/Assumptions!$H$15)-Assumptions!$C$33)+IF(2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Assumptions!$C$38),IF(Assumptions!$C$37=2,(-FV(Assumptions!$C$40/12,Assumptions!$H$15*12,PMT(Assumptions!$C$40/12,Assumptions!$C$42*12,((Assumptions!$C$15*(1+0.05))*Assumptions!$C$38)),((Assumptions!$C$15*(1+0.05))*Assumptions!$C$38))),(-FV(Assumptions!$C$40/12,MAX(0,Assumptions!$H$15-Assumptions!$C$41)*12,PMT(Assumptions!$C$40/12,Assumptions!$C$42*12,((Assumptions!$C$15*(1+0.05))*Assumptions!$C$38)),((Assumptions!$C$15*(1+0.05)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F77" s="98" t="n">
        <f aca="false">IF(3&gt;Assumptions!$H$15,0,IF('Pro Forma'!F$26="",0,'Pro Forma'!F$26-(IF(Assumptions!$C$37=1,(((Assumptions!$C$15*(1+0.05))*Assumptions!$C$38)*Assumptions!$C$40),IF(Assumptions!$C$37=2,(-PMT(Assumptions!$C$40/12,Assumptions!$C$42*12,((Assumptions!$C$15*(1+0.05))*Assumptions!$C$38))*12),IF(3&lt;=Assumptions!$C$41,(((Assumptions!$C$15*(1+0.05))*Assumptions!$C$38)*Assumptions!$C$40),(-PMT(Assumptions!$C$40/12,Assumptions!$C$42*12,((Assumptions!$C$15*(1+0.05))*Assumptions!$C$38))*12)))))-Assumptions!$C$58-IF(Assumptions!$C$28=1,IF(3=1,Assumptions!$C$26,0),Assumptions!$C$26/Assumptions!$H$15)-Assumptions!$C$33)+IF(3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Assumptions!$C$38),IF(Assumptions!$C$37=2,(-FV(Assumptions!$C$40/12,Assumptions!$H$15*12,PMT(Assumptions!$C$40/12,Assumptions!$C$42*12,((Assumptions!$C$15*(1+0.05))*Assumptions!$C$38)),((Assumptions!$C$15*(1+0.05))*Assumptions!$C$38))),(-FV(Assumptions!$C$40/12,MAX(0,Assumptions!$H$15-Assumptions!$C$41)*12,PMT(Assumptions!$C$40/12,Assumptions!$C$42*12,((Assumptions!$C$15*(1+0.05))*Assumptions!$C$38)),((Assumptions!$C$15*(1+0.05)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G77" s="98" t="n">
        <f aca="false">IF(4&gt;Assumptions!$H$15,0,IF('Pro Forma'!G$26="",0,'Pro Forma'!G$26-(IF(Assumptions!$C$37=1,(((Assumptions!$C$15*(1+0.05))*Assumptions!$C$38)*Assumptions!$C$40),IF(Assumptions!$C$37=2,(-PMT(Assumptions!$C$40/12,Assumptions!$C$42*12,((Assumptions!$C$15*(1+0.05))*Assumptions!$C$38))*12),IF(4&lt;=Assumptions!$C$41,(((Assumptions!$C$15*(1+0.05))*Assumptions!$C$38)*Assumptions!$C$40),(-PMT(Assumptions!$C$40/12,Assumptions!$C$42*12,((Assumptions!$C$15*(1+0.05))*Assumptions!$C$38))*12)))))-Assumptions!$C$58-IF(Assumptions!$C$28=1,IF(4=1,Assumptions!$C$26,0),Assumptions!$C$26/Assumptions!$H$15)-Assumptions!$C$33)+IF(4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Assumptions!$C$38),IF(Assumptions!$C$37=2,(-FV(Assumptions!$C$40/12,Assumptions!$H$15*12,PMT(Assumptions!$C$40/12,Assumptions!$C$42*12,((Assumptions!$C$15*(1+0.05))*Assumptions!$C$38)),((Assumptions!$C$15*(1+0.05))*Assumptions!$C$38))),(-FV(Assumptions!$C$40/12,MAX(0,Assumptions!$H$15-Assumptions!$C$41)*12,PMT(Assumptions!$C$40/12,Assumptions!$C$42*12,((Assumptions!$C$15*(1+0.05))*Assumptions!$C$38)),((Assumptions!$C$15*(1+0.05)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H77" s="98" t="n">
        <f aca="false">IF(5&gt;Assumptions!$H$15,0,IF('Pro Forma'!H$26="",0,'Pro Forma'!H$26-(IF(Assumptions!$C$37=1,(((Assumptions!$C$15*(1+0.05))*Assumptions!$C$38)*Assumptions!$C$40),IF(Assumptions!$C$37=2,(-PMT(Assumptions!$C$40/12,Assumptions!$C$42*12,((Assumptions!$C$15*(1+0.05))*Assumptions!$C$38))*12),IF(5&lt;=Assumptions!$C$41,(((Assumptions!$C$15*(1+0.05))*Assumptions!$C$38)*Assumptions!$C$40),(-PMT(Assumptions!$C$40/12,Assumptions!$C$42*12,((Assumptions!$C$15*(1+0.05))*Assumptions!$C$38))*12)))))-Assumptions!$C$58-IF(Assumptions!$C$28=1,IF(5=1,Assumptions!$C$26,0),Assumptions!$C$26/Assumptions!$H$15)-Assumptions!$C$33)+IF(5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Assumptions!$C$38),IF(Assumptions!$C$37=2,(-FV(Assumptions!$C$40/12,Assumptions!$H$15*12,PMT(Assumptions!$C$40/12,Assumptions!$C$42*12,((Assumptions!$C$15*(1+0.05))*Assumptions!$C$38)),((Assumptions!$C$15*(1+0.05))*Assumptions!$C$38))),(-FV(Assumptions!$C$40/12,MAX(0,Assumptions!$H$15-Assumptions!$C$41)*12,PMT(Assumptions!$C$40/12,Assumptions!$C$42*12,((Assumptions!$C$15*(1+0.05))*Assumptions!$C$38)),((Assumptions!$C$15*(1+0.05)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I77" s="98" t="n">
        <f aca="false">IF(6&gt;Assumptions!$H$15,0,IF('Pro Forma'!I$26="",0,'Pro Forma'!I$26-(IF(Assumptions!$C$37=1,(((Assumptions!$C$15*(1+0.05))*Assumptions!$C$38)*Assumptions!$C$40),IF(Assumptions!$C$37=2,(-PMT(Assumptions!$C$40/12,Assumptions!$C$42*12,((Assumptions!$C$15*(1+0.05))*Assumptions!$C$38))*12),IF(6&lt;=Assumptions!$C$41,(((Assumptions!$C$15*(1+0.05))*Assumptions!$C$38)*Assumptions!$C$40),(-PMT(Assumptions!$C$40/12,Assumptions!$C$42*12,((Assumptions!$C$15*(1+0.05))*Assumptions!$C$38))*12)))))-Assumptions!$C$58-IF(Assumptions!$C$28=1,IF(6=1,Assumptions!$C$26,0),Assumptions!$C$26/Assumptions!$H$15)-Assumptions!$C$33)+IF(6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Assumptions!$C$38),IF(Assumptions!$C$37=2,(-FV(Assumptions!$C$40/12,Assumptions!$H$15*12,PMT(Assumptions!$C$40/12,Assumptions!$C$42*12,((Assumptions!$C$15*(1+0.05))*Assumptions!$C$38)),((Assumptions!$C$15*(1+0.05))*Assumptions!$C$38))),(-FV(Assumptions!$C$40/12,MAX(0,Assumptions!$H$15-Assumptions!$C$41)*12,PMT(Assumptions!$C$40/12,Assumptions!$C$42*12,((Assumptions!$C$15*(1+0.05))*Assumptions!$C$38)),((Assumptions!$C$15*(1+0.05)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J77" s="98" t="n">
        <f aca="false">IF(7&gt;Assumptions!$H$15,0,IF('Pro Forma'!J$26="",0,'Pro Forma'!J$26-(IF(Assumptions!$C$37=1,(((Assumptions!$C$15*(1+0.05))*Assumptions!$C$38)*Assumptions!$C$40),IF(Assumptions!$C$37=2,(-PMT(Assumptions!$C$40/12,Assumptions!$C$42*12,((Assumptions!$C$15*(1+0.05))*Assumptions!$C$38))*12),IF(7&lt;=Assumptions!$C$41,(((Assumptions!$C$15*(1+0.05))*Assumptions!$C$38)*Assumptions!$C$40),(-PMT(Assumptions!$C$40/12,Assumptions!$C$42*12,((Assumptions!$C$15*(1+0.05))*Assumptions!$C$38))*12)))))-Assumptions!$C$58-IF(Assumptions!$C$28=1,IF(7=1,Assumptions!$C$26,0),Assumptions!$C$26/Assumptions!$H$15)-Assumptions!$C$33)+IF(7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Assumptions!$C$38),IF(Assumptions!$C$37=2,(-FV(Assumptions!$C$40/12,Assumptions!$H$15*12,PMT(Assumptions!$C$40/12,Assumptions!$C$42*12,((Assumptions!$C$15*(1+0.05))*Assumptions!$C$38)),((Assumptions!$C$15*(1+0.05))*Assumptions!$C$38))),(-FV(Assumptions!$C$40/12,MAX(0,Assumptions!$H$15-Assumptions!$C$41)*12,PMT(Assumptions!$C$40/12,Assumptions!$C$42*12,((Assumptions!$C$15*(1+0.05))*Assumptions!$C$38)),((Assumptions!$C$15*(1+0.05)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K77" s="98" t="n">
        <f aca="false">IF(8&gt;Assumptions!$H$15,0,IF('Pro Forma'!K$26="",0,'Pro Forma'!K$26-(IF(Assumptions!$C$37=1,(((Assumptions!$C$15*(1+0.05))*Assumptions!$C$38)*Assumptions!$C$40),IF(Assumptions!$C$37=2,(-PMT(Assumptions!$C$40/12,Assumptions!$C$42*12,((Assumptions!$C$15*(1+0.05))*Assumptions!$C$38))*12),IF(8&lt;=Assumptions!$C$41,(((Assumptions!$C$15*(1+0.05))*Assumptions!$C$38)*Assumptions!$C$40),(-PMT(Assumptions!$C$40/12,Assumptions!$C$42*12,((Assumptions!$C$15*(1+0.05))*Assumptions!$C$38))*12)))))-Assumptions!$C$58-IF(Assumptions!$C$28=1,IF(8=1,Assumptions!$C$26,0),Assumptions!$C$26/Assumptions!$H$15)-Assumptions!$C$33)+IF(8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Assumptions!$C$38),IF(Assumptions!$C$37=2,(-FV(Assumptions!$C$40/12,Assumptions!$H$15*12,PMT(Assumptions!$C$40/12,Assumptions!$C$42*12,((Assumptions!$C$15*(1+0.05))*Assumptions!$C$38)),((Assumptions!$C$15*(1+0.05))*Assumptions!$C$38))),(-FV(Assumptions!$C$40/12,MAX(0,Assumptions!$H$15-Assumptions!$C$41)*12,PMT(Assumptions!$C$40/12,Assumptions!$C$42*12,((Assumptions!$C$15*(1+0.05))*Assumptions!$C$38)),((Assumptions!$C$15*(1+0.05)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L77" s="98" t="n">
        <f aca="false">IF(9&gt;Assumptions!$H$15,0,IF('Pro Forma'!L$26="",0,'Pro Forma'!L$26-(IF(Assumptions!$C$37=1,(((Assumptions!$C$15*(1+0.05))*Assumptions!$C$38)*Assumptions!$C$40),IF(Assumptions!$C$37=2,(-PMT(Assumptions!$C$40/12,Assumptions!$C$42*12,((Assumptions!$C$15*(1+0.05))*Assumptions!$C$38))*12),IF(9&lt;=Assumptions!$C$41,(((Assumptions!$C$15*(1+0.05))*Assumptions!$C$38)*Assumptions!$C$40),(-PMT(Assumptions!$C$40/12,Assumptions!$C$42*12,((Assumptions!$C$15*(1+0.05))*Assumptions!$C$38))*12)))))-Assumptions!$C$58-IF(Assumptions!$C$28=1,IF(9=1,Assumptions!$C$26,0),Assumptions!$C$26/Assumptions!$H$15)-Assumptions!$C$33)+IF(9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Assumptions!$C$38),IF(Assumptions!$C$37=2,(-FV(Assumptions!$C$40/12,Assumptions!$H$15*12,PMT(Assumptions!$C$40/12,Assumptions!$C$42*12,((Assumptions!$C$15*(1+0.05))*Assumptions!$C$38)),((Assumptions!$C$15*(1+0.05))*Assumptions!$C$38))),(-FV(Assumptions!$C$40/12,MAX(0,Assumptions!$H$15-Assumptions!$C$41)*12,PMT(Assumptions!$C$40/12,Assumptions!$C$42*12,((Assumptions!$C$15*(1+0.05))*Assumptions!$C$38)),((Assumptions!$C$15*(1+0.05)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M77" s="98" t="n">
        <f aca="false">IF(10&gt;Assumptions!$H$15,0,IF('Pro Forma'!M$26="",0,'Pro Forma'!M$26-(IF(Assumptions!$C$37=1,(((Assumptions!$C$15*(1+0.05))*Assumptions!$C$38)*Assumptions!$C$40),IF(Assumptions!$C$37=2,(-PMT(Assumptions!$C$40/12,Assumptions!$C$42*12,((Assumptions!$C$15*(1+0.05))*Assumptions!$C$38))*12),IF(10&lt;=Assumptions!$C$41,(((Assumptions!$C$15*(1+0.05))*Assumptions!$C$38)*Assumptions!$C$40),(-PMT(Assumptions!$C$40/12,Assumptions!$C$42*12,((Assumptions!$C$15*(1+0.05))*Assumptions!$C$38))*12)))))-Assumptions!$C$58-IF(Assumptions!$C$28=1,IF(10=1,Assumptions!$C$26,0),Assumptions!$C$26/Assumptions!$H$15)-Assumptions!$C$33)+IF(10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Assumptions!$C$38),IF(Assumptions!$C$37=2,(-FV(Assumptions!$C$40/12,Assumptions!$H$15*12,PMT(Assumptions!$C$40/12,Assumptions!$C$42*12,((Assumptions!$C$15*(1+0.05))*Assumptions!$C$38)),((Assumptions!$C$15*(1+0.05))*Assumptions!$C$38))),(-FV(Assumptions!$C$40/12,MAX(0,Assumptions!$H$15-Assumptions!$C$41)*12,PMT(Assumptions!$C$40/12,Assumptions!$C$42*12,((Assumptions!$C$15*(1+0.05))*Assumptions!$C$38)),((Assumptions!$C$15*(1+0.05)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N77" s="99" t="n">
        <f aca="false">IFERROR(IRR(C77:M77),0)</f>
        <v>0</v>
      </c>
    </row>
    <row r="78" customFormat="false" ht="15" hidden="false" customHeight="true" outlineLevel="0" collapsed="false">
      <c r="C78" s="98" t="n">
        <f aca="false">-(((Assumptions!$C$15*(1-0.1))*(1+Assumptions!$C$18))-((Assumptions!$C$15*(1-0.1))*(Assumptions!$C$38-0.1)))</f>
        <v>-0</v>
      </c>
      <c r="D78" s="98" t="n">
        <f aca="false">IF(1&gt;Assumptions!$H$15,0,IF('Pro Forma'!D$26="",0,'Pro Forma'!D$26-(IF(Assumptions!$C$37=1,(((Assumptions!$C$15*(1+0.05))*(Assumptions!$C$38+0.05))*Assumptions!$C$40),IF(Assumptions!$C$37=2,(-PMT(Assumptions!$C$40/12,Assumptions!$C$42*12,((Assumptions!$C$15*(1+0.05))*(Assumptions!$C$38+0.05)))*12),IF(1&lt;=Assumptions!$C$41,(((Assumptions!$C$15*(1+0.05))*(Assumptions!$C$38+0.05))*Assumptions!$C$40),(-PMT(Assumptions!$C$40/12,Assumptions!$C$42*12,((Assumptions!$C$15*(1+0.05))*(Assumptions!$C$38+0.05)))*12)))))-Assumptions!$C$58-IF(Assumptions!$C$28=1,IF(1=1,Assumptions!$C$26,0),Assumptions!$C$26/Assumptions!$H$15)-Assumptions!$C$33)+IF(1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+0.05)),IF(Assumptions!$C$37=2,(-FV(Assumptions!$C$40/12,Assumptions!$H$15*12,PMT(Assumptions!$C$40/12,Assumptions!$C$42*12,((Assumptions!$C$15*(1+0.05))*(Assumptions!$C$38+0.05))),((Assumptions!$C$15*(1+0.05))*(Assumptions!$C$38+0.05)))),(-FV(Assumptions!$C$40/12,MAX(0,Assumptions!$H$15-Assumptions!$C$41)*12,PMT(Assumptions!$C$40/12,Assumptions!$C$42*12,((Assumptions!$C$15*(1+0.05))*(Assumptions!$C$38+0.05))),((Assumptions!$C$15*(1+0.05)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E78" s="98" t="n">
        <f aca="false">IF(2&gt;Assumptions!$H$15,0,IF('Pro Forma'!E$26="",0,'Pro Forma'!E$26-(IF(Assumptions!$C$37=1,(((Assumptions!$C$15*(1+0.05))*(Assumptions!$C$38+0.05))*Assumptions!$C$40),IF(Assumptions!$C$37=2,(-PMT(Assumptions!$C$40/12,Assumptions!$C$42*12,((Assumptions!$C$15*(1+0.05))*(Assumptions!$C$38+0.05)))*12),IF(2&lt;=Assumptions!$C$41,(((Assumptions!$C$15*(1+0.05))*(Assumptions!$C$38+0.05))*Assumptions!$C$40),(-PMT(Assumptions!$C$40/12,Assumptions!$C$42*12,((Assumptions!$C$15*(1+0.05))*(Assumptions!$C$38+0.05)))*12)))))-Assumptions!$C$58-IF(Assumptions!$C$28=1,IF(2=1,Assumptions!$C$26,0),Assumptions!$C$26/Assumptions!$H$15)-Assumptions!$C$33)+IF(2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+0.05)),IF(Assumptions!$C$37=2,(-FV(Assumptions!$C$40/12,Assumptions!$H$15*12,PMT(Assumptions!$C$40/12,Assumptions!$C$42*12,((Assumptions!$C$15*(1+0.05))*(Assumptions!$C$38+0.05))),((Assumptions!$C$15*(1+0.05))*(Assumptions!$C$38+0.05)))),(-FV(Assumptions!$C$40/12,MAX(0,Assumptions!$H$15-Assumptions!$C$41)*12,PMT(Assumptions!$C$40/12,Assumptions!$C$42*12,((Assumptions!$C$15*(1+0.05))*(Assumptions!$C$38+0.05))),((Assumptions!$C$15*(1+0.05)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F78" s="98" t="n">
        <f aca="false">IF(3&gt;Assumptions!$H$15,0,IF('Pro Forma'!F$26="",0,'Pro Forma'!F$26-(IF(Assumptions!$C$37=1,(((Assumptions!$C$15*(1+0.05))*(Assumptions!$C$38+0.05))*Assumptions!$C$40),IF(Assumptions!$C$37=2,(-PMT(Assumptions!$C$40/12,Assumptions!$C$42*12,((Assumptions!$C$15*(1+0.05))*(Assumptions!$C$38+0.05)))*12),IF(3&lt;=Assumptions!$C$41,(((Assumptions!$C$15*(1+0.05))*(Assumptions!$C$38+0.05))*Assumptions!$C$40),(-PMT(Assumptions!$C$40/12,Assumptions!$C$42*12,((Assumptions!$C$15*(1+0.05))*(Assumptions!$C$38+0.05)))*12)))))-Assumptions!$C$58-IF(Assumptions!$C$28=1,IF(3=1,Assumptions!$C$26,0),Assumptions!$C$26/Assumptions!$H$15)-Assumptions!$C$33)+IF(3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+0.05)),IF(Assumptions!$C$37=2,(-FV(Assumptions!$C$40/12,Assumptions!$H$15*12,PMT(Assumptions!$C$40/12,Assumptions!$C$42*12,((Assumptions!$C$15*(1+0.05))*(Assumptions!$C$38+0.05))),((Assumptions!$C$15*(1+0.05))*(Assumptions!$C$38+0.05)))),(-FV(Assumptions!$C$40/12,MAX(0,Assumptions!$H$15-Assumptions!$C$41)*12,PMT(Assumptions!$C$40/12,Assumptions!$C$42*12,((Assumptions!$C$15*(1+0.05))*(Assumptions!$C$38+0.05))),((Assumptions!$C$15*(1+0.05)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G78" s="98" t="n">
        <f aca="false">IF(4&gt;Assumptions!$H$15,0,IF('Pro Forma'!G$26="",0,'Pro Forma'!G$26-(IF(Assumptions!$C$37=1,(((Assumptions!$C$15*(1+0.05))*(Assumptions!$C$38+0.05))*Assumptions!$C$40),IF(Assumptions!$C$37=2,(-PMT(Assumptions!$C$40/12,Assumptions!$C$42*12,((Assumptions!$C$15*(1+0.05))*(Assumptions!$C$38+0.05)))*12),IF(4&lt;=Assumptions!$C$41,(((Assumptions!$C$15*(1+0.05))*(Assumptions!$C$38+0.05))*Assumptions!$C$40),(-PMT(Assumptions!$C$40/12,Assumptions!$C$42*12,((Assumptions!$C$15*(1+0.05))*(Assumptions!$C$38+0.05)))*12)))))-Assumptions!$C$58-IF(Assumptions!$C$28=1,IF(4=1,Assumptions!$C$26,0),Assumptions!$C$26/Assumptions!$H$15)-Assumptions!$C$33)+IF(4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+0.05)),IF(Assumptions!$C$37=2,(-FV(Assumptions!$C$40/12,Assumptions!$H$15*12,PMT(Assumptions!$C$40/12,Assumptions!$C$42*12,((Assumptions!$C$15*(1+0.05))*(Assumptions!$C$38+0.05))),((Assumptions!$C$15*(1+0.05))*(Assumptions!$C$38+0.05)))),(-FV(Assumptions!$C$40/12,MAX(0,Assumptions!$H$15-Assumptions!$C$41)*12,PMT(Assumptions!$C$40/12,Assumptions!$C$42*12,((Assumptions!$C$15*(1+0.05))*(Assumptions!$C$38+0.05))),((Assumptions!$C$15*(1+0.05)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H78" s="98" t="n">
        <f aca="false">IF(5&gt;Assumptions!$H$15,0,IF('Pro Forma'!H$26="",0,'Pro Forma'!H$26-(IF(Assumptions!$C$37=1,(((Assumptions!$C$15*(1+0.05))*(Assumptions!$C$38+0.05))*Assumptions!$C$40),IF(Assumptions!$C$37=2,(-PMT(Assumptions!$C$40/12,Assumptions!$C$42*12,((Assumptions!$C$15*(1+0.05))*(Assumptions!$C$38+0.05)))*12),IF(5&lt;=Assumptions!$C$41,(((Assumptions!$C$15*(1+0.05))*(Assumptions!$C$38+0.05))*Assumptions!$C$40),(-PMT(Assumptions!$C$40/12,Assumptions!$C$42*12,((Assumptions!$C$15*(1+0.05))*(Assumptions!$C$38+0.05)))*12)))))-Assumptions!$C$58-IF(Assumptions!$C$28=1,IF(5=1,Assumptions!$C$26,0),Assumptions!$C$26/Assumptions!$H$15)-Assumptions!$C$33)+IF(5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+0.05)),IF(Assumptions!$C$37=2,(-FV(Assumptions!$C$40/12,Assumptions!$H$15*12,PMT(Assumptions!$C$40/12,Assumptions!$C$42*12,((Assumptions!$C$15*(1+0.05))*(Assumptions!$C$38+0.05))),((Assumptions!$C$15*(1+0.05))*(Assumptions!$C$38+0.05)))),(-FV(Assumptions!$C$40/12,MAX(0,Assumptions!$H$15-Assumptions!$C$41)*12,PMT(Assumptions!$C$40/12,Assumptions!$C$42*12,((Assumptions!$C$15*(1+0.05))*(Assumptions!$C$38+0.05))),((Assumptions!$C$15*(1+0.05)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I78" s="98" t="n">
        <f aca="false">IF(6&gt;Assumptions!$H$15,0,IF('Pro Forma'!I$26="",0,'Pro Forma'!I$26-(IF(Assumptions!$C$37=1,(((Assumptions!$C$15*(1+0.05))*(Assumptions!$C$38+0.05))*Assumptions!$C$40),IF(Assumptions!$C$37=2,(-PMT(Assumptions!$C$40/12,Assumptions!$C$42*12,((Assumptions!$C$15*(1+0.05))*(Assumptions!$C$38+0.05)))*12),IF(6&lt;=Assumptions!$C$41,(((Assumptions!$C$15*(1+0.05))*(Assumptions!$C$38+0.05))*Assumptions!$C$40),(-PMT(Assumptions!$C$40/12,Assumptions!$C$42*12,((Assumptions!$C$15*(1+0.05))*(Assumptions!$C$38+0.05)))*12)))))-Assumptions!$C$58-IF(Assumptions!$C$28=1,IF(6=1,Assumptions!$C$26,0),Assumptions!$C$26/Assumptions!$H$15)-Assumptions!$C$33)+IF(6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+0.05)),IF(Assumptions!$C$37=2,(-FV(Assumptions!$C$40/12,Assumptions!$H$15*12,PMT(Assumptions!$C$40/12,Assumptions!$C$42*12,((Assumptions!$C$15*(1+0.05))*(Assumptions!$C$38+0.05))),((Assumptions!$C$15*(1+0.05))*(Assumptions!$C$38+0.05)))),(-FV(Assumptions!$C$40/12,MAX(0,Assumptions!$H$15-Assumptions!$C$41)*12,PMT(Assumptions!$C$40/12,Assumptions!$C$42*12,((Assumptions!$C$15*(1+0.05))*(Assumptions!$C$38+0.05))),((Assumptions!$C$15*(1+0.05)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J78" s="98" t="n">
        <f aca="false">IF(7&gt;Assumptions!$H$15,0,IF('Pro Forma'!J$26="",0,'Pro Forma'!J$26-(IF(Assumptions!$C$37=1,(((Assumptions!$C$15*(1+0.05))*(Assumptions!$C$38+0.05))*Assumptions!$C$40),IF(Assumptions!$C$37=2,(-PMT(Assumptions!$C$40/12,Assumptions!$C$42*12,((Assumptions!$C$15*(1+0.05))*(Assumptions!$C$38+0.05)))*12),IF(7&lt;=Assumptions!$C$41,(((Assumptions!$C$15*(1+0.05))*(Assumptions!$C$38+0.05))*Assumptions!$C$40),(-PMT(Assumptions!$C$40/12,Assumptions!$C$42*12,((Assumptions!$C$15*(1+0.05))*(Assumptions!$C$38+0.05)))*12)))))-Assumptions!$C$58-IF(Assumptions!$C$28=1,IF(7=1,Assumptions!$C$26,0),Assumptions!$C$26/Assumptions!$H$15)-Assumptions!$C$33)+IF(7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+0.05)),IF(Assumptions!$C$37=2,(-FV(Assumptions!$C$40/12,Assumptions!$H$15*12,PMT(Assumptions!$C$40/12,Assumptions!$C$42*12,((Assumptions!$C$15*(1+0.05))*(Assumptions!$C$38+0.05))),((Assumptions!$C$15*(1+0.05))*(Assumptions!$C$38+0.05)))),(-FV(Assumptions!$C$40/12,MAX(0,Assumptions!$H$15-Assumptions!$C$41)*12,PMT(Assumptions!$C$40/12,Assumptions!$C$42*12,((Assumptions!$C$15*(1+0.05))*(Assumptions!$C$38+0.05))),((Assumptions!$C$15*(1+0.05)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K78" s="98" t="n">
        <f aca="false">IF(8&gt;Assumptions!$H$15,0,IF('Pro Forma'!K$26="",0,'Pro Forma'!K$26-(IF(Assumptions!$C$37=1,(((Assumptions!$C$15*(1+0.05))*(Assumptions!$C$38+0.05))*Assumptions!$C$40),IF(Assumptions!$C$37=2,(-PMT(Assumptions!$C$40/12,Assumptions!$C$42*12,((Assumptions!$C$15*(1+0.05))*(Assumptions!$C$38+0.05)))*12),IF(8&lt;=Assumptions!$C$41,(((Assumptions!$C$15*(1+0.05))*(Assumptions!$C$38+0.05))*Assumptions!$C$40),(-PMT(Assumptions!$C$40/12,Assumptions!$C$42*12,((Assumptions!$C$15*(1+0.05))*(Assumptions!$C$38+0.05)))*12)))))-Assumptions!$C$58-IF(Assumptions!$C$28=1,IF(8=1,Assumptions!$C$26,0),Assumptions!$C$26/Assumptions!$H$15)-Assumptions!$C$33)+IF(8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+0.05)),IF(Assumptions!$C$37=2,(-FV(Assumptions!$C$40/12,Assumptions!$H$15*12,PMT(Assumptions!$C$40/12,Assumptions!$C$42*12,((Assumptions!$C$15*(1+0.05))*(Assumptions!$C$38+0.05))),((Assumptions!$C$15*(1+0.05))*(Assumptions!$C$38+0.05)))),(-FV(Assumptions!$C$40/12,MAX(0,Assumptions!$H$15-Assumptions!$C$41)*12,PMT(Assumptions!$C$40/12,Assumptions!$C$42*12,((Assumptions!$C$15*(1+0.05))*(Assumptions!$C$38+0.05))),((Assumptions!$C$15*(1+0.05)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L78" s="98" t="n">
        <f aca="false">IF(9&gt;Assumptions!$H$15,0,IF('Pro Forma'!L$26="",0,'Pro Forma'!L$26-(IF(Assumptions!$C$37=1,(((Assumptions!$C$15*(1+0.05))*(Assumptions!$C$38+0.05))*Assumptions!$C$40),IF(Assumptions!$C$37=2,(-PMT(Assumptions!$C$40/12,Assumptions!$C$42*12,((Assumptions!$C$15*(1+0.05))*(Assumptions!$C$38+0.05)))*12),IF(9&lt;=Assumptions!$C$41,(((Assumptions!$C$15*(1+0.05))*(Assumptions!$C$38+0.05))*Assumptions!$C$40),(-PMT(Assumptions!$C$40/12,Assumptions!$C$42*12,((Assumptions!$C$15*(1+0.05))*(Assumptions!$C$38+0.05)))*12)))))-Assumptions!$C$58-IF(Assumptions!$C$28=1,IF(9=1,Assumptions!$C$26,0),Assumptions!$C$26/Assumptions!$H$15)-Assumptions!$C$33)+IF(9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+0.05)),IF(Assumptions!$C$37=2,(-FV(Assumptions!$C$40/12,Assumptions!$H$15*12,PMT(Assumptions!$C$40/12,Assumptions!$C$42*12,((Assumptions!$C$15*(1+0.05))*(Assumptions!$C$38+0.05))),((Assumptions!$C$15*(1+0.05))*(Assumptions!$C$38+0.05)))),(-FV(Assumptions!$C$40/12,MAX(0,Assumptions!$H$15-Assumptions!$C$41)*12,PMT(Assumptions!$C$40/12,Assumptions!$C$42*12,((Assumptions!$C$15*(1+0.05))*(Assumptions!$C$38+0.05))),((Assumptions!$C$15*(1+0.05)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M78" s="98" t="n">
        <f aca="false">IF(10&gt;Assumptions!$H$15,0,IF('Pro Forma'!M$26="",0,'Pro Forma'!M$26-(IF(Assumptions!$C$37=1,(((Assumptions!$C$15*(1+0.05))*(Assumptions!$C$38+0.05))*Assumptions!$C$40),IF(Assumptions!$C$37=2,(-PMT(Assumptions!$C$40/12,Assumptions!$C$42*12,((Assumptions!$C$15*(1+0.05))*(Assumptions!$C$38+0.05)))*12),IF(10&lt;=Assumptions!$C$41,(((Assumptions!$C$15*(1+0.05))*(Assumptions!$C$38+0.05))*Assumptions!$C$40),(-PMT(Assumptions!$C$40/12,Assumptions!$C$42*12,((Assumptions!$C$15*(1+0.05))*(Assumptions!$C$38+0.05)))*12)))))-Assumptions!$C$58-IF(Assumptions!$C$28=1,IF(10=1,Assumptions!$C$26,0),Assumptions!$C$26/Assumptions!$H$15)-Assumptions!$C$33)+IF(10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+0.05)),IF(Assumptions!$C$37=2,(-FV(Assumptions!$C$40/12,Assumptions!$H$15*12,PMT(Assumptions!$C$40/12,Assumptions!$C$42*12,((Assumptions!$C$15*(1+0.05))*(Assumptions!$C$38+0.05))),((Assumptions!$C$15*(1+0.05))*(Assumptions!$C$38+0.05)))),(-FV(Assumptions!$C$40/12,MAX(0,Assumptions!$H$15-Assumptions!$C$41)*12,PMT(Assumptions!$C$40/12,Assumptions!$C$42*12,((Assumptions!$C$15*(1+0.05))*(Assumptions!$C$38+0.05))),((Assumptions!$C$15*(1+0.05)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N78" s="99" t="n">
        <f aca="false">IFERROR(IRR(C78:M78),0)</f>
        <v>0</v>
      </c>
    </row>
    <row r="79" customFormat="false" ht="15" hidden="false" customHeight="true" outlineLevel="0" collapsed="false">
      <c r="C79" s="98" t="n">
        <f aca="false">-(((Assumptions!$C$15*(1-0.1))*(1+Assumptions!$C$18))-((Assumptions!$C$15*(1-0.1))*(Assumptions!$C$38-0.1)))</f>
        <v>-0</v>
      </c>
      <c r="D79" s="98" t="n">
        <f aca="false">IF(1&gt;Assumptions!$H$15,0,IF('Pro Forma'!D$26="",0,'Pro Forma'!D$26-(IF(Assumptions!$C$37=1,(((Assumptions!$C$15*(1+0.05))*(Assumptions!$C$38+0.1))*Assumptions!$C$40),IF(Assumptions!$C$37=2,(-PMT(Assumptions!$C$40/12,Assumptions!$C$42*12,((Assumptions!$C$15*(1+0.05))*(Assumptions!$C$38+0.1)))*12),IF(1&lt;=Assumptions!$C$41,(((Assumptions!$C$15*(1+0.05))*(Assumptions!$C$38+0.1))*Assumptions!$C$40),(-PMT(Assumptions!$C$40/12,Assumptions!$C$42*12,((Assumptions!$C$15*(1+0.05))*(Assumptions!$C$38+0.1)))*12)))))-Assumptions!$C$58-IF(Assumptions!$C$28=1,IF(1=1,Assumptions!$C$26,0),Assumptions!$C$26/Assumptions!$H$15)-Assumptions!$C$33)+IF(1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+0.1)),IF(Assumptions!$C$37=2,(-FV(Assumptions!$C$40/12,Assumptions!$H$15*12,PMT(Assumptions!$C$40/12,Assumptions!$C$42*12,((Assumptions!$C$15*(1+0.05))*(Assumptions!$C$38+0.1))),((Assumptions!$C$15*(1+0.05))*(Assumptions!$C$38+0.1)))),(-FV(Assumptions!$C$40/12,MAX(0,Assumptions!$H$15-Assumptions!$C$41)*12,PMT(Assumptions!$C$40/12,Assumptions!$C$42*12,((Assumptions!$C$15*(1+0.05))*(Assumptions!$C$38+0.1))),((Assumptions!$C$15*(1+0.05)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E79" s="98" t="n">
        <f aca="false">IF(2&gt;Assumptions!$H$15,0,IF('Pro Forma'!E$26="",0,'Pro Forma'!E$26-(IF(Assumptions!$C$37=1,(((Assumptions!$C$15*(1+0.05))*(Assumptions!$C$38+0.1))*Assumptions!$C$40),IF(Assumptions!$C$37=2,(-PMT(Assumptions!$C$40/12,Assumptions!$C$42*12,((Assumptions!$C$15*(1+0.05))*(Assumptions!$C$38+0.1)))*12),IF(2&lt;=Assumptions!$C$41,(((Assumptions!$C$15*(1+0.05))*(Assumptions!$C$38+0.1))*Assumptions!$C$40),(-PMT(Assumptions!$C$40/12,Assumptions!$C$42*12,((Assumptions!$C$15*(1+0.05))*(Assumptions!$C$38+0.1)))*12)))))-Assumptions!$C$58-IF(Assumptions!$C$28=1,IF(2=1,Assumptions!$C$26,0),Assumptions!$C$26/Assumptions!$H$15)-Assumptions!$C$33)+IF(2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+0.1)),IF(Assumptions!$C$37=2,(-FV(Assumptions!$C$40/12,Assumptions!$H$15*12,PMT(Assumptions!$C$40/12,Assumptions!$C$42*12,((Assumptions!$C$15*(1+0.05))*(Assumptions!$C$38+0.1))),((Assumptions!$C$15*(1+0.05))*(Assumptions!$C$38+0.1)))),(-FV(Assumptions!$C$40/12,MAX(0,Assumptions!$H$15-Assumptions!$C$41)*12,PMT(Assumptions!$C$40/12,Assumptions!$C$42*12,((Assumptions!$C$15*(1+0.05))*(Assumptions!$C$38+0.1))),((Assumptions!$C$15*(1+0.05)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F79" s="98" t="n">
        <f aca="false">IF(3&gt;Assumptions!$H$15,0,IF('Pro Forma'!F$26="",0,'Pro Forma'!F$26-(IF(Assumptions!$C$37=1,(((Assumptions!$C$15*(1+0.05))*(Assumptions!$C$38+0.1))*Assumptions!$C$40),IF(Assumptions!$C$37=2,(-PMT(Assumptions!$C$40/12,Assumptions!$C$42*12,((Assumptions!$C$15*(1+0.05))*(Assumptions!$C$38+0.1)))*12),IF(3&lt;=Assumptions!$C$41,(((Assumptions!$C$15*(1+0.05))*(Assumptions!$C$38+0.1))*Assumptions!$C$40),(-PMT(Assumptions!$C$40/12,Assumptions!$C$42*12,((Assumptions!$C$15*(1+0.05))*(Assumptions!$C$38+0.1)))*12)))))-Assumptions!$C$58-IF(Assumptions!$C$28=1,IF(3=1,Assumptions!$C$26,0),Assumptions!$C$26/Assumptions!$H$15)-Assumptions!$C$33)+IF(3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+0.1)),IF(Assumptions!$C$37=2,(-FV(Assumptions!$C$40/12,Assumptions!$H$15*12,PMT(Assumptions!$C$40/12,Assumptions!$C$42*12,((Assumptions!$C$15*(1+0.05))*(Assumptions!$C$38+0.1))),((Assumptions!$C$15*(1+0.05))*(Assumptions!$C$38+0.1)))),(-FV(Assumptions!$C$40/12,MAX(0,Assumptions!$H$15-Assumptions!$C$41)*12,PMT(Assumptions!$C$40/12,Assumptions!$C$42*12,((Assumptions!$C$15*(1+0.05))*(Assumptions!$C$38+0.1))),((Assumptions!$C$15*(1+0.05)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G79" s="98" t="n">
        <f aca="false">IF(4&gt;Assumptions!$H$15,0,IF('Pro Forma'!G$26="",0,'Pro Forma'!G$26-(IF(Assumptions!$C$37=1,(((Assumptions!$C$15*(1+0.05))*(Assumptions!$C$38+0.1))*Assumptions!$C$40),IF(Assumptions!$C$37=2,(-PMT(Assumptions!$C$40/12,Assumptions!$C$42*12,((Assumptions!$C$15*(1+0.05))*(Assumptions!$C$38+0.1)))*12),IF(4&lt;=Assumptions!$C$41,(((Assumptions!$C$15*(1+0.05))*(Assumptions!$C$38+0.1))*Assumptions!$C$40),(-PMT(Assumptions!$C$40/12,Assumptions!$C$42*12,((Assumptions!$C$15*(1+0.05))*(Assumptions!$C$38+0.1)))*12)))))-Assumptions!$C$58-IF(Assumptions!$C$28=1,IF(4=1,Assumptions!$C$26,0),Assumptions!$C$26/Assumptions!$H$15)-Assumptions!$C$33)+IF(4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+0.1)),IF(Assumptions!$C$37=2,(-FV(Assumptions!$C$40/12,Assumptions!$H$15*12,PMT(Assumptions!$C$40/12,Assumptions!$C$42*12,((Assumptions!$C$15*(1+0.05))*(Assumptions!$C$38+0.1))),((Assumptions!$C$15*(1+0.05))*(Assumptions!$C$38+0.1)))),(-FV(Assumptions!$C$40/12,MAX(0,Assumptions!$H$15-Assumptions!$C$41)*12,PMT(Assumptions!$C$40/12,Assumptions!$C$42*12,((Assumptions!$C$15*(1+0.05))*(Assumptions!$C$38+0.1))),((Assumptions!$C$15*(1+0.05)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H79" s="98" t="n">
        <f aca="false">IF(5&gt;Assumptions!$H$15,0,IF('Pro Forma'!H$26="",0,'Pro Forma'!H$26-(IF(Assumptions!$C$37=1,(((Assumptions!$C$15*(1+0.05))*(Assumptions!$C$38+0.1))*Assumptions!$C$40),IF(Assumptions!$C$37=2,(-PMT(Assumptions!$C$40/12,Assumptions!$C$42*12,((Assumptions!$C$15*(1+0.05))*(Assumptions!$C$38+0.1)))*12),IF(5&lt;=Assumptions!$C$41,(((Assumptions!$C$15*(1+0.05))*(Assumptions!$C$38+0.1))*Assumptions!$C$40),(-PMT(Assumptions!$C$40/12,Assumptions!$C$42*12,((Assumptions!$C$15*(1+0.05))*(Assumptions!$C$38+0.1)))*12)))))-Assumptions!$C$58-IF(Assumptions!$C$28=1,IF(5=1,Assumptions!$C$26,0),Assumptions!$C$26/Assumptions!$H$15)-Assumptions!$C$33)+IF(5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+0.1)),IF(Assumptions!$C$37=2,(-FV(Assumptions!$C$40/12,Assumptions!$H$15*12,PMT(Assumptions!$C$40/12,Assumptions!$C$42*12,((Assumptions!$C$15*(1+0.05))*(Assumptions!$C$38+0.1))),((Assumptions!$C$15*(1+0.05))*(Assumptions!$C$38+0.1)))),(-FV(Assumptions!$C$40/12,MAX(0,Assumptions!$H$15-Assumptions!$C$41)*12,PMT(Assumptions!$C$40/12,Assumptions!$C$42*12,((Assumptions!$C$15*(1+0.05))*(Assumptions!$C$38+0.1))),((Assumptions!$C$15*(1+0.05)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I79" s="98" t="n">
        <f aca="false">IF(6&gt;Assumptions!$H$15,0,IF('Pro Forma'!I$26="",0,'Pro Forma'!I$26-(IF(Assumptions!$C$37=1,(((Assumptions!$C$15*(1+0.05))*(Assumptions!$C$38+0.1))*Assumptions!$C$40),IF(Assumptions!$C$37=2,(-PMT(Assumptions!$C$40/12,Assumptions!$C$42*12,((Assumptions!$C$15*(1+0.05))*(Assumptions!$C$38+0.1)))*12),IF(6&lt;=Assumptions!$C$41,(((Assumptions!$C$15*(1+0.05))*(Assumptions!$C$38+0.1))*Assumptions!$C$40),(-PMT(Assumptions!$C$40/12,Assumptions!$C$42*12,((Assumptions!$C$15*(1+0.05))*(Assumptions!$C$38+0.1)))*12)))))-Assumptions!$C$58-IF(Assumptions!$C$28=1,IF(6=1,Assumptions!$C$26,0),Assumptions!$C$26/Assumptions!$H$15)-Assumptions!$C$33)+IF(6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+0.1)),IF(Assumptions!$C$37=2,(-FV(Assumptions!$C$40/12,Assumptions!$H$15*12,PMT(Assumptions!$C$40/12,Assumptions!$C$42*12,((Assumptions!$C$15*(1+0.05))*(Assumptions!$C$38+0.1))),((Assumptions!$C$15*(1+0.05))*(Assumptions!$C$38+0.1)))),(-FV(Assumptions!$C$40/12,MAX(0,Assumptions!$H$15-Assumptions!$C$41)*12,PMT(Assumptions!$C$40/12,Assumptions!$C$42*12,((Assumptions!$C$15*(1+0.05))*(Assumptions!$C$38+0.1))),((Assumptions!$C$15*(1+0.05)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J79" s="98" t="n">
        <f aca="false">IF(7&gt;Assumptions!$H$15,0,IF('Pro Forma'!J$26="",0,'Pro Forma'!J$26-(IF(Assumptions!$C$37=1,(((Assumptions!$C$15*(1+0.05))*(Assumptions!$C$38+0.1))*Assumptions!$C$40),IF(Assumptions!$C$37=2,(-PMT(Assumptions!$C$40/12,Assumptions!$C$42*12,((Assumptions!$C$15*(1+0.05))*(Assumptions!$C$38+0.1)))*12),IF(7&lt;=Assumptions!$C$41,(((Assumptions!$C$15*(1+0.05))*(Assumptions!$C$38+0.1))*Assumptions!$C$40),(-PMT(Assumptions!$C$40/12,Assumptions!$C$42*12,((Assumptions!$C$15*(1+0.05))*(Assumptions!$C$38+0.1)))*12)))))-Assumptions!$C$58-IF(Assumptions!$C$28=1,IF(7=1,Assumptions!$C$26,0),Assumptions!$C$26/Assumptions!$H$15)-Assumptions!$C$33)+IF(7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+0.1)),IF(Assumptions!$C$37=2,(-FV(Assumptions!$C$40/12,Assumptions!$H$15*12,PMT(Assumptions!$C$40/12,Assumptions!$C$42*12,((Assumptions!$C$15*(1+0.05))*(Assumptions!$C$38+0.1))),((Assumptions!$C$15*(1+0.05))*(Assumptions!$C$38+0.1)))),(-FV(Assumptions!$C$40/12,MAX(0,Assumptions!$H$15-Assumptions!$C$41)*12,PMT(Assumptions!$C$40/12,Assumptions!$C$42*12,((Assumptions!$C$15*(1+0.05))*(Assumptions!$C$38+0.1))),((Assumptions!$C$15*(1+0.05)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K79" s="98" t="n">
        <f aca="false">IF(8&gt;Assumptions!$H$15,0,IF('Pro Forma'!K$26="",0,'Pro Forma'!K$26-(IF(Assumptions!$C$37=1,(((Assumptions!$C$15*(1+0.05))*(Assumptions!$C$38+0.1))*Assumptions!$C$40),IF(Assumptions!$C$37=2,(-PMT(Assumptions!$C$40/12,Assumptions!$C$42*12,((Assumptions!$C$15*(1+0.05))*(Assumptions!$C$38+0.1)))*12),IF(8&lt;=Assumptions!$C$41,(((Assumptions!$C$15*(1+0.05))*(Assumptions!$C$38+0.1))*Assumptions!$C$40),(-PMT(Assumptions!$C$40/12,Assumptions!$C$42*12,((Assumptions!$C$15*(1+0.05))*(Assumptions!$C$38+0.1)))*12)))))-Assumptions!$C$58-IF(Assumptions!$C$28=1,IF(8=1,Assumptions!$C$26,0),Assumptions!$C$26/Assumptions!$H$15)-Assumptions!$C$33)+IF(8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+0.1)),IF(Assumptions!$C$37=2,(-FV(Assumptions!$C$40/12,Assumptions!$H$15*12,PMT(Assumptions!$C$40/12,Assumptions!$C$42*12,((Assumptions!$C$15*(1+0.05))*(Assumptions!$C$38+0.1))),((Assumptions!$C$15*(1+0.05))*(Assumptions!$C$38+0.1)))),(-FV(Assumptions!$C$40/12,MAX(0,Assumptions!$H$15-Assumptions!$C$41)*12,PMT(Assumptions!$C$40/12,Assumptions!$C$42*12,((Assumptions!$C$15*(1+0.05))*(Assumptions!$C$38+0.1))),((Assumptions!$C$15*(1+0.05)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L79" s="98" t="n">
        <f aca="false">IF(9&gt;Assumptions!$H$15,0,IF('Pro Forma'!L$26="",0,'Pro Forma'!L$26-(IF(Assumptions!$C$37=1,(((Assumptions!$C$15*(1+0.05))*(Assumptions!$C$38+0.1))*Assumptions!$C$40),IF(Assumptions!$C$37=2,(-PMT(Assumptions!$C$40/12,Assumptions!$C$42*12,((Assumptions!$C$15*(1+0.05))*(Assumptions!$C$38+0.1)))*12),IF(9&lt;=Assumptions!$C$41,(((Assumptions!$C$15*(1+0.05))*(Assumptions!$C$38+0.1))*Assumptions!$C$40),(-PMT(Assumptions!$C$40/12,Assumptions!$C$42*12,((Assumptions!$C$15*(1+0.05))*(Assumptions!$C$38+0.1)))*12)))))-Assumptions!$C$58-IF(Assumptions!$C$28=1,IF(9=1,Assumptions!$C$26,0),Assumptions!$C$26/Assumptions!$H$15)-Assumptions!$C$33)+IF(9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+0.1)),IF(Assumptions!$C$37=2,(-FV(Assumptions!$C$40/12,Assumptions!$H$15*12,PMT(Assumptions!$C$40/12,Assumptions!$C$42*12,((Assumptions!$C$15*(1+0.05))*(Assumptions!$C$38+0.1))),((Assumptions!$C$15*(1+0.05))*(Assumptions!$C$38+0.1)))),(-FV(Assumptions!$C$40/12,MAX(0,Assumptions!$H$15-Assumptions!$C$41)*12,PMT(Assumptions!$C$40/12,Assumptions!$C$42*12,((Assumptions!$C$15*(1+0.05))*(Assumptions!$C$38+0.1))),((Assumptions!$C$15*(1+0.05)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M79" s="98" t="n">
        <f aca="false">IF(10&gt;Assumptions!$H$15,0,IF('Pro Forma'!M$26="",0,'Pro Forma'!M$26-(IF(Assumptions!$C$37=1,(((Assumptions!$C$15*(1+0.05))*(Assumptions!$C$38+0.1))*Assumptions!$C$40),IF(Assumptions!$C$37=2,(-PMT(Assumptions!$C$40/12,Assumptions!$C$42*12,((Assumptions!$C$15*(1+0.05))*(Assumptions!$C$38+0.1)))*12),IF(10&lt;=Assumptions!$C$41,(((Assumptions!$C$15*(1+0.05))*(Assumptions!$C$38+0.1))*Assumptions!$C$40),(-PMT(Assumptions!$C$40/12,Assumptions!$C$42*12,((Assumptions!$C$15*(1+0.05))*(Assumptions!$C$38+0.1)))*12)))))-Assumptions!$C$58-IF(Assumptions!$C$28=1,IF(10=1,Assumptions!$C$26,0),Assumptions!$C$26/Assumptions!$H$15)-Assumptions!$C$33)+IF(10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+0.1)),IF(Assumptions!$C$37=2,(-FV(Assumptions!$C$40/12,Assumptions!$H$15*12,PMT(Assumptions!$C$40/12,Assumptions!$C$42*12,((Assumptions!$C$15*(1+0.05))*(Assumptions!$C$38+0.1))),((Assumptions!$C$15*(1+0.05))*(Assumptions!$C$38+0.1)))),(-FV(Assumptions!$C$40/12,MAX(0,Assumptions!$H$15-Assumptions!$C$41)*12,PMT(Assumptions!$C$40/12,Assumptions!$C$42*12,((Assumptions!$C$15*(1+0.05))*(Assumptions!$C$38+0.1))),((Assumptions!$C$15*(1+0.05)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N79" s="99" t="n">
        <f aca="false">IFERROR(IRR(C79:M79),0)</f>
        <v>0</v>
      </c>
    </row>
    <row r="80" customFormat="false" ht="15" hidden="false" customHeight="true" outlineLevel="0" collapsed="false">
      <c r="C80" s="98" t="n">
        <f aca="false">-(((Assumptions!$C$15*(1-0.1))*(1+Assumptions!$C$18))-((Assumptions!$C$15*(1-0.1))*(Assumptions!$C$38-0.1)))</f>
        <v>-0</v>
      </c>
      <c r="D80" s="98" t="n">
        <f aca="false">IF(1&gt;Assumptions!$H$15,0,IF('Pro Forma'!D$26="",0,'Pro Forma'!D$26-(IF(Assumptions!$C$37=1,(((Assumptions!$C$15*(1+0.1))*(Assumptions!$C$38-0.1))*Assumptions!$C$40),IF(Assumptions!$C$37=2,(-PMT(Assumptions!$C$40/12,Assumptions!$C$42*12,((Assumptions!$C$15*(1+0.1))*(Assumptions!$C$38-0.1)))*12),IF(1&lt;=Assumptions!$C$41,(((Assumptions!$C$15*(1+0.1))*(Assumptions!$C$38-0.1))*Assumptions!$C$40),(-PMT(Assumptions!$C$40/12,Assumptions!$C$42*12,((Assumptions!$C$15*(1+0.1))*(Assumptions!$C$38-0.1)))*12)))))-Assumptions!$C$58-IF(Assumptions!$C$28=1,IF(1=1,Assumptions!$C$26,0),Assumptions!$C$26/Assumptions!$H$15)-Assumptions!$C$33)+IF(1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$38-0.1)),IF(Assumptions!$C$37=2,(-FV(Assumptions!$C$40/12,Assumptions!$H$15*12,PMT(Assumptions!$C$40/12,Assumptions!$C$42*12,((Assumptions!$C$15*(1+0.1))*(Assumptions!$C$38-0.1))),((Assumptions!$C$15*(1+0.1))*(Assumptions!$C$38-0.1)))),(-FV(Assumptions!$C$40/12,MAX(0,Assumptions!$H$15-Assumptions!$C$41)*12,PMT(Assumptions!$C$40/12,Assumptions!$C$42*12,((Assumptions!$C$15*(1+0.1))*(Assumptions!$C$38-0.1))),((Assumptions!$C$15*(1+0.1)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E80" s="98" t="n">
        <f aca="false">IF(2&gt;Assumptions!$H$15,0,IF('Pro Forma'!E$26="",0,'Pro Forma'!E$26-(IF(Assumptions!$C$37=1,(((Assumptions!$C$15*(1+0.1))*(Assumptions!$C$38-0.1))*Assumptions!$C$40),IF(Assumptions!$C$37=2,(-PMT(Assumptions!$C$40/12,Assumptions!$C$42*12,((Assumptions!$C$15*(1+0.1))*(Assumptions!$C$38-0.1)))*12),IF(2&lt;=Assumptions!$C$41,(((Assumptions!$C$15*(1+0.1))*(Assumptions!$C$38-0.1))*Assumptions!$C$40),(-PMT(Assumptions!$C$40/12,Assumptions!$C$42*12,((Assumptions!$C$15*(1+0.1))*(Assumptions!$C$38-0.1)))*12)))))-Assumptions!$C$58-IF(Assumptions!$C$28=1,IF(2=1,Assumptions!$C$26,0),Assumptions!$C$26/Assumptions!$H$15)-Assumptions!$C$33)+IF(2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$38-0.1)),IF(Assumptions!$C$37=2,(-FV(Assumptions!$C$40/12,Assumptions!$H$15*12,PMT(Assumptions!$C$40/12,Assumptions!$C$42*12,((Assumptions!$C$15*(1+0.1))*(Assumptions!$C$38-0.1))),((Assumptions!$C$15*(1+0.1))*(Assumptions!$C$38-0.1)))),(-FV(Assumptions!$C$40/12,MAX(0,Assumptions!$H$15-Assumptions!$C$41)*12,PMT(Assumptions!$C$40/12,Assumptions!$C$42*12,((Assumptions!$C$15*(1+0.1))*(Assumptions!$C$38-0.1))),((Assumptions!$C$15*(1+0.1)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F80" s="98" t="n">
        <f aca="false">IF(3&gt;Assumptions!$H$15,0,IF('Pro Forma'!F$26="",0,'Pro Forma'!F$26-(IF(Assumptions!$C$37=1,(((Assumptions!$C$15*(1+0.1))*(Assumptions!$C$38-0.1))*Assumptions!$C$40),IF(Assumptions!$C$37=2,(-PMT(Assumptions!$C$40/12,Assumptions!$C$42*12,((Assumptions!$C$15*(1+0.1))*(Assumptions!$C$38-0.1)))*12),IF(3&lt;=Assumptions!$C$41,(((Assumptions!$C$15*(1+0.1))*(Assumptions!$C$38-0.1))*Assumptions!$C$40),(-PMT(Assumptions!$C$40/12,Assumptions!$C$42*12,((Assumptions!$C$15*(1+0.1))*(Assumptions!$C$38-0.1)))*12)))))-Assumptions!$C$58-IF(Assumptions!$C$28=1,IF(3=1,Assumptions!$C$26,0),Assumptions!$C$26/Assumptions!$H$15)-Assumptions!$C$33)+IF(3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$38-0.1)),IF(Assumptions!$C$37=2,(-FV(Assumptions!$C$40/12,Assumptions!$H$15*12,PMT(Assumptions!$C$40/12,Assumptions!$C$42*12,((Assumptions!$C$15*(1+0.1))*(Assumptions!$C$38-0.1))),((Assumptions!$C$15*(1+0.1))*(Assumptions!$C$38-0.1)))),(-FV(Assumptions!$C$40/12,MAX(0,Assumptions!$H$15-Assumptions!$C$41)*12,PMT(Assumptions!$C$40/12,Assumptions!$C$42*12,((Assumptions!$C$15*(1+0.1))*(Assumptions!$C$38-0.1))),((Assumptions!$C$15*(1+0.1)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G80" s="98" t="n">
        <f aca="false">IF(4&gt;Assumptions!$H$15,0,IF('Pro Forma'!G$26="",0,'Pro Forma'!G$26-(IF(Assumptions!$C$37=1,(((Assumptions!$C$15*(1+0.1))*(Assumptions!$C$38-0.1))*Assumptions!$C$40),IF(Assumptions!$C$37=2,(-PMT(Assumptions!$C$40/12,Assumptions!$C$42*12,((Assumptions!$C$15*(1+0.1))*(Assumptions!$C$38-0.1)))*12),IF(4&lt;=Assumptions!$C$41,(((Assumptions!$C$15*(1+0.1))*(Assumptions!$C$38-0.1))*Assumptions!$C$40),(-PMT(Assumptions!$C$40/12,Assumptions!$C$42*12,((Assumptions!$C$15*(1+0.1))*(Assumptions!$C$38-0.1)))*12)))))-Assumptions!$C$58-IF(Assumptions!$C$28=1,IF(4=1,Assumptions!$C$26,0),Assumptions!$C$26/Assumptions!$H$15)-Assumptions!$C$33)+IF(4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$38-0.1)),IF(Assumptions!$C$37=2,(-FV(Assumptions!$C$40/12,Assumptions!$H$15*12,PMT(Assumptions!$C$40/12,Assumptions!$C$42*12,((Assumptions!$C$15*(1+0.1))*(Assumptions!$C$38-0.1))),((Assumptions!$C$15*(1+0.1))*(Assumptions!$C$38-0.1)))),(-FV(Assumptions!$C$40/12,MAX(0,Assumptions!$H$15-Assumptions!$C$41)*12,PMT(Assumptions!$C$40/12,Assumptions!$C$42*12,((Assumptions!$C$15*(1+0.1))*(Assumptions!$C$38-0.1))),((Assumptions!$C$15*(1+0.1)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H80" s="98" t="n">
        <f aca="false">IF(5&gt;Assumptions!$H$15,0,IF('Pro Forma'!H$26="",0,'Pro Forma'!H$26-(IF(Assumptions!$C$37=1,(((Assumptions!$C$15*(1+0.1))*(Assumptions!$C$38-0.1))*Assumptions!$C$40),IF(Assumptions!$C$37=2,(-PMT(Assumptions!$C$40/12,Assumptions!$C$42*12,((Assumptions!$C$15*(1+0.1))*(Assumptions!$C$38-0.1)))*12),IF(5&lt;=Assumptions!$C$41,(((Assumptions!$C$15*(1+0.1))*(Assumptions!$C$38-0.1))*Assumptions!$C$40),(-PMT(Assumptions!$C$40/12,Assumptions!$C$42*12,((Assumptions!$C$15*(1+0.1))*(Assumptions!$C$38-0.1)))*12)))))-Assumptions!$C$58-IF(Assumptions!$C$28=1,IF(5=1,Assumptions!$C$26,0),Assumptions!$C$26/Assumptions!$H$15)-Assumptions!$C$33)+IF(5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$38-0.1)),IF(Assumptions!$C$37=2,(-FV(Assumptions!$C$40/12,Assumptions!$H$15*12,PMT(Assumptions!$C$40/12,Assumptions!$C$42*12,((Assumptions!$C$15*(1+0.1))*(Assumptions!$C$38-0.1))),((Assumptions!$C$15*(1+0.1))*(Assumptions!$C$38-0.1)))),(-FV(Assumptions!$C$40/12,MAX(0,Assumptions!$H$15-Assumptions!$C$41)*12,PMT(Assumptions!$C$40/12,Assumptions!$C$42*12,((Assumptions!$C$15*(1+0.1))*(Assumptions!$C$38-0.1))),((Assumptions!$C$15*(1+0.1)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I80" s="98" t="n">
        <f aca="false">IF(6&gt;Assumptions!$H$15,0,IF('Pro Forma'!I$26="",0,'Pro Forma'!I$26-(IF(Assumptions!$C$37=1,(((Assumptions!$C$15*(1+0.1))*(Assumptions!$C$38-0.1))*Assumptions!$C$40),IF(Assumptions!$C$37=2,(-PMT(Assumptions!$C$40/12,Assumptions!$C$42*12,((Assumptions!$C$15*(1+0.1))*(Assumptions!$C$38-0.1)))*12),IF(6&lt;=Assumptions!$C$41,(((Assumptions!$C$15*(1+0.1))*(Assumptions!$C$38-0.1))*Assumptions!$C$40),(-PMT(Assumptions!$C$40/12,Assumptions!$C$42*12,((Assumptions!$C$15*(1+0.1))*(Assumptions!$C$38-0.1)))*12)))))-Assumptions!$C$58-IF(Assumptions!$C$28=1,IF(6=1,Assumptions!$C$26,0),Assumptions!$C$26/Assumptions!$H$15)-Assumptions!$C$33)+IF(6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$38-0.1)),IF(Assumptions!$C$37=2,(-FV(Assumptions!$C$40/12,Assumptions!$H$15*12,PMT(Assumptions!$C$40/12,Assumptions!$C$42*12,((Assumptions!$C$15*(1+0.1))*(Assumptions!$C$38-0.1))),((Assumptions!$C$15*(1+0.1))*(Assumptions!$C$38-0.1)))),(-FV(Assumptions!$C$40/12,MAX(0,Assumptions!$H$15-Assumptions!$C$41)*12,PMT(Assumptions!$C$40/12,Assumptions!$C$42*12,((Assumptions!$C$15*(1+0.1))*(Assumptions!$C$38-0.1))),((Assumptions!$C$15*(1+0.1)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J80" s="98" t="n">
        <f aca="false">IF(7&gt;Assumptions!$H$15,0,IF('Pro Forma'!J$26="",0,'Pro Forma'!J$26-(IF(Assumptions!$C$37=1,(((Assumptions!$C$15*(1+0.1))*(Assumptions!$C$38-0.1))*Assumptions!$C$40),IF(Assumptions!$C$37=2,(-PMT(Assumptions!$C$40/12,Assumptions!$C$42*12,((Assumptions!$C$15*(1+0.1))*(Assumptions!$C$38-0.1)))*12),IF(7&lt;=Assumptions!$C$41,(((Assumptions!$C$15*(1+0.1))*(Assumptions!$C$38-0.1))*Assumptions!$C$40),(-PMT(Assumptions!$C$40/12,Assumptions!$C$42*12,((Assumptions!$C$15*(1+0.1))*(Assumptions!$C$38-0.1)))*12)))))-Assumptions!$C$58-IF(Assumptions!$C$28=1,IF(7=1,Assumptions!$C$26,0),Assumptions!$C$26/Assumptions!$H$15)-Assumptions!$C$33)+IF(7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$38-0.1)),IF(Assumptions!$C$37=2,(-FV(Assumptions!$C$40/12,Assumptions!$H$15*12,PMT(Assumptions!$C$40/12,Assumptions!$C$42*12,((Assumptions!$C$15*(1+0.1))*(Assumptions!$C$38-0.1))),((Assumptions!$C$15*(1+0.1))*(Assumptions!$C$38-0.1)))),(-FV(Assumptions!$C$40/12,MAX(0,Assumptions!$H$15-Assumptions!$C$41)*12,PMT(Assumptions!$C$40/12,Assumptions!$C$42*12,((Assumptions!$C$15*(1+0.1))*(Assumptions!$C$38-0.1))),((Assumptions!$C$15*(1+0.1)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K80" s="98" t="n">
        <f aca="false">IF(8&gt;Assumptions!$H$15,0,IF('Pro Forma'!K$26="",0,'Pro Forma'!K$26-(IF(Assumptions!$C$37=1,(((Assumptions!$C$15*(1+0.1))*(Assumptions!$C$38-0.1))*Assumptions!$C$40),IF(Assumptions!$C$37=2,(-PMT(Assumptions!$C$40/12,Assumptions!$C$42*12,((Assumptions!$C$15*(1+0.1))*(Assumptions!$C$38-0.1)))*12),IF(8&lt;=Assumptions!$C$41,(((Assumptions!$C$15*(1+0.1))*(Assumptions!$C$38-0.1))*Assumptions!$C$40),(-PMT(Assumptions!$C$40/12,Assumptions!$C$42*12,((Assumptions!$C$15*(1+0.1))*(Assumptions!$C$38-0.1)))*12)))))-Assumptions!$C$58-IF(Assumptions!$C$28=1,IF(8=1,Assumptions!$C$26,0),Assumptions!$C$26/Assumptions!$H$15)-Assumptions!$C$33)+IF(8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$38-0.1)),IF(Assumptions!$C$37=2,(-FV(Assumptions!$C$40/12,Assumptions!$H$15*12,PMT(Assumptions!$C$40/12,Assumptions!$C$42*12,((Assumptions!$C$15*(1+0.1))*(Assumptions!$C$38-0.1))),((Assumptions!$C$15*(1+0.1))*(Assumptions!$C$38-0.1)))),(-FV(Assumptions!$C$40/12,MAX(0,Assumptions!$H$15-Assumptions!$C$41)*12,PMT(Assumptions!$C$40/12,Assumptions!$C$42*12,((Assumptions!$C$15*(1+0.1))*(Assumptions!$C$38-0.1))),((Assumptions!$C$15*(1+0.1)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L80" s="98" t="n">
        <f aca="false">IF(9&gt;Assumptions!$H$15,0,IF('Pro Forma'!L$26="",0,'Pro Forma'!L$26-(IF(Assumptions!$C$37=1,(((Assumptions!$C$15*(1+0.1))*(Assumptions!$C$38-0.1))*Assumptions!$C$40),IF(Assumptions!$C$37=2,(-PMT(Assumptions!$C$40/12,Assumptions!$C$42*12,((Assumptions!$C$15*(1+0.1))*(Assumptions!$C$38-0.1)))*12),IF(9&lt;=Assumptions!$C$41,(((Assumptions!$C$15*(1+0.1))*(Assumptions!$C$38-0.1))*Assumptions!$C$40),(-PMT(Assumptions!$C$40/12,Assumptions!$C$42*12,((Assumptions!$C$15*(1+0.1))*(Assumptions!$C$38-0.1)))*12)))))-Assumptions!$C$58-IF(Assumptions!$C$28=1,IF(9=1,Assumptions!$C$26,0),Assumptions!$C$26/Assumptions!$H$15)-Assumptions!$C$33)+IF(9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$38-0.1)),IF(Assumptions!$C$37=2,(-FV(Assumptions!$C$40/12,Assumptions!$H$15*12,PMT(Assumptions!$C$40/12,Assumptions!$C$42*12,((Assumptions!$C$15*(1+0.1))*(Assumptions!$C$38-0.1))),((Assumptions!$C$15*(1+0.1))*(Assumptions!$C$38-0.1)))),(-FV(Assumptions!$C$40/12,MAX(0,Assumptions!$H$15-Assumptions!$C$41)*12,PMT(Assumptions!$C$40/12,Assumptions!$C$42*12,((Assumptions!$C$15*(1+0.1))*(Assumptions!$C$38-0.1))),((Assumptions!$C$15*(1+0.1)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M80" s="98" t="n">
        <f aca="false">IF(10&gt;Assumptions!$H$15,0,IF('Pro Forma'!M$26="",0,'Pro Forma'!M$26-(IF(Assumptions!$C$37=1,(((Assumptions!$C$15*(1+0.1))*(Assumptions!$C$38-0.1))*Assumptions!$C$40),IF(Assumptions!$C$37=2,(-PMT(Assumptions!$C$40/12,Assumptions!$C$42*12,((Assumptions!$C$15*(1+0.1))*(Assumptions!$C$38-0.1)))*12),IF(10&lt;=Assumptions!$C$41,(((Assumptions!$C$15*(1+0.1))*(Assumptions!$C$38-0.1))*Assumptions!$C$40),(-PMT(Assumptions!$C$40/12,Assumptions!$C$42*12,((Assumptions!$C$15*(1+0.1))*(Assumptions!$C$38-0.1)))*12)))))-Assumptions!$C$58-IF(Assumptions!$C$28=1,IF(10=1,Assumptions!$C$26,0),Assumptions!$C$26/Assumptions!$H$15)-Assumptions!$C$33)+IF(10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$38-0.1)),IF(Assumptions!$C$37=2,(-FV(Assumptions!$C$40/12,Assumptions!$H$15*12,PMT(Assumptions!$C$40/12,Assumptions!$C$42*12,((Assumptions!$C$15*(1+0.1))*(Assumptions!$C$38-0.1))),((Assumptions!$C$15*(1+0.1))*(Assumptions!$C$38-0.1)))),(-FV(Assumptions!$C$40/12,MAX(0,Assumptions!$H$15-Assumptions!$C$41)*12,PMT(Assumptions!$C$40/12,Assumptions!$C$42*12,((Assumptions!$C$15*(1+0.1))*(Assumptions!$C$38-0.1))),((Assumptions!$C$15*(1+0.1))*(Assumptions!$C$38-0.1)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N80" s="99" t="n">
        <f aca="false">IFERROR(IRR(C80:M80),0)</f>
        <v>0</v>
      </c>
    </row>
    <row r="81" customFormat="false" ht="15" hidden="false" customHeight="true" outlineLevel="0" collapsed="false">
      <c r="C81" s="98" t="n">
        <f aca="false">-(((Assumptions!$C$15*(1-0.1))*(1+Assumptions!$C$18))-((Assumptions!$C$15*(1-0.1))*(Assumptions!$C$38-0.1)))</f>
        <v>-0</v>
      </c>
      <c r="D81" s="98" t="n">
        <f aca="false">IF(1&gt;Assumptions!$H$15,0,IF('Pro Forma'!D$26="",0,'Pro Forma'!D$26-(IF(Assumptions!$C$37=1,(((Assumptions!$C$15*(1+0.1))*(Assumptions!$C$38-0.05))*Assumptions!$C$40),IF(Assumptions!$C$37=2,(-PMT(Assumptions!$C$40/12,Assumptions!$C$42*12,((Assumptions!$C$15*(1+0.1))*(Assumptions!$C$38-0.05)))*12),IF(1&lt;=Assumptions!$C$41,(((Assumptions!$C$15*(1+0.1))*(Assumptions!$C$38-0.05))*Assumptions!$C$40),(-PMT(Assumptions!$C$40/12,Assumptions!$C$42*12,((Assumptions!$C$15*(1+0.1))*(Assumptions!$C$38-0.05)))*12)))))-Assumptions!$C$58-IF(Assumptions!$C$28=1,IF(1=1,Assumptions!$C$26,0),Assumptions!$C$26/Assumptions!$H$15)-Assumptions!$C$33)+IF(1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$38-0.05)),IF(Assumptions!$C$37=2,(-FV(Assumptions!$C$40/12,Assumptions!$H$15*12,PMT(Assumptions!$C$40/12,Assumptions!$C$42*12,((Assumptions!$C$15*(1+0.1))*(Assumptions!$C$38-0.05))),((Assumptions!$C$15*(1+0.1))*(Assumptions!$C$38-0.05)))),(-FV(Assumptions!$C$40/12,MAX(0,Assumptions!$H$15-Assumptions!$C$41)*12,PMT(Assumptions!$C$40/12,Assumptions!$C$42*12,((Assumptions!$C$15*(1+0.1))*(Assumptions!$C$38-0.05))),((Assumptions!$C$15*(1+0.1)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E81" s="98" t="n">
        <f aca="false">IF(2&gt;Assumptions!$H$15,0,IF('Pro Forma'!E$26="",0,'Pro Forma'!E$26-(IF(Assumptions!$C$37=1,(((Assumptions!$C$15*(1+0.1))*(Assumptions!$C$38-0.05))*Assumptions!$C$40),IF(Assumptions!$C$37=2,(-PMT(Assumptions!$C$40/12,Assumptions!$C$42*12,((Assumptions!$C$15*(1+0.1))*(Assumptions!$C$38-0.05)))*12),IF(2&lt;=Assumptions!$C$41,(((Assumptions!$C$15*(1+0.1))*(Assumptions!$C$38-0.05))*Assumptions!$C$40),(-PMT(Assumptions!$C$40/12,Assumptions!$C$42*12,((Assumptions!$C$15*(1+0.1))*(Assumptions!$C$38-0.05)))*12)))))-Assumptions!$C$58-IF(Assumptions!$C$28=1,IF(2=1,Assumptions!$C$26,0),Assumptions!$C$26/Assumptions!$H$15)-Assumptions!$C$33)+IF(2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$38-0.05)),IF(Assumptions!$C$37=2,(-FV(Assumptions!$C$40/12,Assumptions!$H$15*12,PMT(Assumptions!$C$40/12,Assumptions!$C$42*12,((Assumptions!$C$15*(1+0.1))*(Assumptions!$C$38-0.05))),((Assumptions!$C$15*(1+0.1))*(Assumptions!$C$38-0.05)))),(-FV(Assumptions!$C$40/12,MAX(0,Assumptions!$H$15-Assumptions!$C$41)*12,PMT(Assumptions!$C$40/12,Assumptions!$C$42*12,((Assumptions!$C$15*(1+0.1))*(Assumptions!$C$38-0.05))),((Assumptions!$C$15*(1+0.1)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F81" s="98" t="n">
        <f aca="false">IF(3&gt;Assumptions!$H$15,0,IF('Pro Forma'!F$26="",0,'Pro Forma'!F$26-(IF(Assumptions!$C$37=1,(((Assumptions!$C$15*(1+0.1))*(Assumptions!$C$38-0.05))*Assumptions!$C$40),IF(Assumptions!$C$37=2,(-PMT(Assumptions!$C$40/12,Assumptions!$C$42*12,((Assumptions!$C$15*(1+0.1))*(Assumptions!$C$38-0.05)))*12),IF(3&lt;=Assumptions!$C$41,(((Assumptions!$C$15*(1+0.1))*(Assumptions!$C$38-0.05))*Assumptions!$C$40),(-PMT(Assumptions!$C$40/12,Assumptions!$C$42*12,((Assumptions!$C$15*(1+0.1))*(Assumptions!$C$38-0.05)))*12)))))-Assumptions!$C$58-IF(Assumptions!$C$28=1,IF(3=1,Assumptions!$C$26,0),Assumptions!$C$26/Assumptions!$H$15)-Assumptions!$C$33)+IF(3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$38-0.05)),IF(Assumptions!$C$37=2,(-FV(Assumptions!$C$40/12,Assumptions!$H$15*12,PMT(Assumptions!$C$40/12,Assumptions!$C$42*12,((Assumptions!$C$15*(1+0.1))*(Assumptions!$C$38-0.05))),((Assumptions!$C$15*(1+0.1))*(Assumptions!$C$38-0.05)))),(-FV(Assumptions!$C$40/12,MAX(0,Assumptions!$H$15-Assumptions!$C$41)*12,PMT(Assumptions!$C$40/12,Assumptions!$C$42*12,((Assumptions!$C$15*(1+0.1))*(Assumptions!$C$38-0.05))),((Assumptions!$C$15*(1+0.1)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G81" s="98" t="n">
        <f aca="false">IF(4&gt;Assumptions!$H$15,0,IF('Pro Forma'!G$26="",0,'Pro Forma'!G$26-(IF(Assumptions!$C$37=1,(((Assumptions!$C$15*(1+0.1))*(Assumptions!$C$38-0.05))*Assumptions!$C$40),IF(Assumptions!$C$37=2,(-PMT(Assumptions!$C$40/12,Assumptions!$C$42*12,((Assumptions!$C$15*(1+0.1))*(Assumptions!$C$38-0.05)))*12),IF(4&lt;=Assumptions!$C$41,(((Assumptions!$C$15*(1+0.1))*(Assumptions!$C$38-0.05))*Assumptions!$C$40),(-PMT(Assumptions!$C$40/12,Assumptions!$C$42*12,((Assumptions!$C$15*(1+0.1))*(Assumptions!$C$38-0.05)))*12)))))-Assumptions!$C$58-IF(Assumptions!$C$28=1,IF(4=1,Assumptions!$C$26,0),Assumptions!$C$26/Assumptions!$H$15)-Assumptions!$C$33)+IF(4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$38-0.05)),IF(Assumptions!$C$37=2,(-FV(Assumptions!$C$40/12,Assumptions!$H$15*12,PMT(Assumptions!$C$40/12,Assumptions!$C$42*12,((Assumptions!$C$15*(1+0.1))*(Assumptions!$C$38-0.05))),((Assumptions!$C$15*(1+0.1))*(Assumptions!$C$38-0.05)))),(-FV(Assumptions!$C$40/12,MAX(0,Assumptions!$H$15-Assumptions!$C$41)*12,PMT(Assumptions!$C$40/12,Assumptions!$C$42*12,((Assumptions!$C$15*(1+0.1))*(Assumptions!$C$38-0.05))),((Assumptions!$C$15*(1+0.1)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H81" s="98" t="n">
        <f aca="false">IF(5&gt;Assumptions!$H$15,0,IF('Pro Forma'!H$26="",0,'Pro Forma'!H$26-(IF(Assumptions!$C$37=1,(((Assumptions!$C$15*(1+0.1))*(Assumptions!$C$38-0.05))*Assumptions!$C$40),IF(Assumptions!$C$37=2,(-PMT(Assumptions!$C$40/12,Assumptions!$C$42*12,((Assumptions!$C$15*(1+0.1))*(Assumptions!$C$38-0.05)))*12),IF(5&lt;=Assumptions!$C$41,(((Assumptions!$C$15*(1+0.1))*(Assumptions!$C$38-0.05))*Assumptions!$C$40),(-PMT(Assumptions!$C$40/12,Assumptions!$C$42*12,((Assumptions!$C$15*(1+0.1))*(Assumptions!$C$38-0.05)))*12)))))-Assumptions!$C$58-IF(Assumptions!$C$28=1,IF(5=1,Assumptions!$C$26,0),Assumptions!$C$26/Assumptions!$H$15)-Assumptions!$C$33)+IF(5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$38-0.05)),IF(Assumptions!$C$37=2,(-FV(Assumptions!$C$40/12,Assumptions!$H$15*12,PMT(Assumptions!$C$40/12,Assumptions!$C$42*12,((Assumptions!$C$15*(1+0.1))*(Assumptions!$C$38-0.05))),((Assumptions!$C$15*(1+0.1))*(Assumptions!$C$38-0.05)))),(-FV(Assumptions!$C$40/12,MAX(0,Assumptions!$H$15-Assumptions!$C$41)*12,PMT(Assumptions!$C$40/12,Assumptions!$C$42*12,((Assumptions!$C$15*(1+0.1))*(Assumptions!$C$38-0.05))),((Assumptions!$C$15*(1+0.1)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I81" s="98" t="n">
        <f aca="false">IF(6&gt;Assumptions!$H$15,0,IF('Pro Forma'!I$26="",0,'Pro Forma'!I$26-(IF(Assumptions!$C$37=1,(((Assumptions!$C$15*(1+0.1))*(Assumptions!$C$38-0.05))*Assumptions!$C$40),IF(Assumptions!$C$37=2,(-PMT(Assumptions!$C$40/12,Assumptions!$C$42*12,((Assumptions!$C$15*(1+0.1))*(Assumptions!$C$38-0.05)))*12),IF(6&lt;=Assumptions!$C$41,(((Assumptions!$C$15*(1+0.1))*(Assumptions!$C$38-0.05))*Assumptions!$C$40),(-PMT(Assumptions!$C$40/12,Assumptions!$C$42*12,((Assumptions!$C$15*(1+0.1))*(Assumptions!$C$38-0.05)))*12)))))-Assumptions!$C$58-IF(Assumptions!$C$28=1,IF(6=1,Assumptions!$C$26,0),Assumptions!$C$26/Assumptions!$H$15)-Assumptions!$C$33)+IF(6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$38-0.05)),IF(Assumptions!$C$37=2,(-FV(Assumptions!$C$40/12,Assumptions!$H$15*12,PMT(Assumptions!$C$40/12,Assumptions!$C$42*12,((Assumptions!$C$15*(1+0.1))*(Assumptions!$C$38-0.05))),((Assumptions!$C$15*(1+0.1))*(Assumptions!$C$38-0.05)))),(-FV(Assumptions!$C$40/12,MAX(0,Assumptions!$H$15-Assumptions!$C$41)*12,PMT(Assumptions!$C$40/12,Assumptions!$C$42*12,((Assumptions!$C$15*(1+0.1))*(Assumptions!$C$38-0.05))),((Assumptions!$C$15*(1+0.1)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J81" s="98" t="n">
        <f aca="false">IF(7&gt;Assumptions!$H$15,0,IF('Pro Forma'!J$26="",0,'Pro Forma'!J$26-(IF(Assumptions!$C$37=1,(((Assumptions!$C$15*(1+0.1))*(Assumptions!$C$38-0.05))*Assumptions!$C$40),IF(Assumptions!$C$37=2,(-PMT(Assumptions!$C$40/12,Assumptions!$C$42*12,((Assumptions!$C$15*(1+0.1))*(Assumptions!$C$38-0.05)))*12),IF(7&lt;=Assumptions!$C$41,(((Assumptions!$C$15*(1+0.1))*(Assumptions!$C$38-0.05))*Assumptions!$C$40),(-PMT(Assumptions!$C$40/12,Assumptions!$C$42*12,((Assumptions!$C$15*(1+0.1))*(Assumptions!$C$38-0.05)))*12)))))-Assumptions!$C$58-IF(Assumptions!$C$28=1,IF(7=1,Assumptions!$C$26,0),Assumptions!$C$26/Assumptions!$H$15)-Assumptions!$C$33)+IF(7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$38-0.05)),IF(Assumptions!$C$37=2,(-FV(Assumptions!$C$40/12,Assumptions!$H$15*12,PMT(Assumptions!$C$40/12,Assumptions!$C$42*12,((Assumptions!$C$15*(1+0.1))*(Assumptions!$C$38-0.05))),((Assumptions!$C$15*(1+0.1))*(Assumptions!$C$38-0.05)))),(-FV(Assumptions!$C$40/12,MAX(0,Assumptions!$H$15-Assumptions!$C$41)*12,PMT(Assumptions!$C$40/12,Assumptions!$C$42*12,((Assumptions!$C$15*(1+0.1))*(Assumptions!$C$38-0.05))),((Assumptions!$C$15*(1+0.1)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K81" s="98" t="n">
        <f aca="false">IF(8&gt;Assumptions!$H$15,0,IF('Pro Forma'!K$26="",0,'Pro Forma'!K$26-(IF(Assumptions!$C$37=1,(((Assumptions!$C$15*(1+0.1))*(Assumptions!$C$38-0.05))*Assumptions!$C$40),IF(Assumptions!$C$37=2,(-PMT(Assumptions!$C$40/12,Assumptions!$C$42*12,((Assumptions!$C$15*(1+0.1))*(Assumptions!$C$38-0.05)))*12),IF(8&lt;=Assumptions!$C$41,(((Assumptions!$C$15*(1+0.1))*(Assumptions!$C$38-0.05))*Assumptions!$C$40),(-PMT(Assumptions!$C$40/12,Assumptions!$C$42*12,((Assumptions!$C$15*(1+0.1))*(Assumptions!$C$38-0.05)))*12)))))-Assumptions!$C$58-IF(Assumptions!$C$28=1,IF(8=1,Assumptions!$C$26,0),Assumptions!$C$26/Assumptions!$H$15)-Assumptions!$C$33)+IF(8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$38-0.05)),IF(Assumptions!$C$37=2,(-FV(Assumptions!$C$40/12,Assumptions!$H$15*12,PMT(Assumptions!$C$40/12,Assumptions!$C$42*12,((Assumptions!$C$15*(1+0.1))*(Assumptions!$C$38-0.05))),((Assumptions!$C$15*(1+0.1))*(Assumptions!$C$38-0.05)))),(-FV(Assumptions!$C$40/12,MAX(0,Assumptions!$H$15-Assumptions!$C$41)*12,PMT(Assumptions!$C$40/12,Assumptions!$C$42*12,((Assumptions!$C$15*(1+0.1))*(Assumptions!$C$38-0.05))),((Assumptions!$C$15*(1+0.1)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L81" s="98" t="n">
        <f aca="false">IF(9&gt;Assumptions!$H$15,0,IF('Pro Forma'!L$26="",0,'Pro Forma'!L$26-(IF(Assumptions!$C$37=1,(((Assumptions!$C$15*(1+0.1))*(Assumptions!$C$38-0.05))*Assumptions!$C$40),IF(Assumptions!$C$37=2,(-PMT(Assumptions!$C$40/12,Assumptions!$C$42*12,((Assumptions!$C$15*(1+0.1))*(Assumptions!$C$38-0.05)))*12),IF(9&lt;=Assumptions!$C$41,(((Assumptions!$C$15*(1+0.1))*(Assumptions!$C$38-0.05))*Assumptions!$C$40),(-PMT(Assumptions!$C$40/12,Assumptions!$C$42*12,((Assumptions!$C$15*(1+0.1))*(Assumptions!$C$38-0.05)))*12)))))-Assumptions!$C$58-IF(Assumptions!$C$28=1,IF(9=1,Assumptions!$C$26,0),Assumptions!$C$26/Assumptions!$H$15)-Assumptions!$C$33)+IF(9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$38-0.05)),IF(Assumptions!$C$37=2,(-FV(Assumptions!$C$40/12,Assumptions!$H$15*12,PMT(Assumptions!$C$40/12,Assumptions!$C$42*12,((Assumptions!$C$15*(1+0.1))*(Assumptions!$C$38-0.05))),((Assumptions!$C$15*(1+0.1))*(Assumptions!$C$38-0.05)))),(-FV(Assumptions!$C$40/12,MAX(0,Assumptions!$H$15-Assumptions!$C$41)*12,PMT(Assumptions!$C$40/12,Assumptions!$C$42*12,((Assumptions!$C$15*(1+0.1))*(Assumptions!$C$38-0.05))),((Assumptions!$C$15*(1+0.1)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M81" s="98" t="n">
        <f aca="false">IF(10&gt;Assumptions!$H$15,0,IF('Pro Forma'!M$26="",0,'Pro Forma'!M$26-(IF(Assumptions!$C$37=1,(((Assumptions!$C$15*(1+0.1))*(Assumptions!$C$38-0.05))*Assumptions!$C$40),IF(Assumptions!$C$37=2,(-PMT(Assumptions!$C$40/12,Assumptions!$C$42*12,((Assumptions!$C$15*(1+0.1))*(Assumptions!$C$38-0.05)))*12),IF(10&lt;=Assumptions!$C$41,(((Assumptions!$C$15*(1+0.1))*(Assumptions!$C$38-0.05))*Assumptions!$C$40),(-PMT(Assumptions!$C$40/12,Assumptions!$C$42*12,((Assumptions!$C$15*(1+0.1))*(Assumptions!$C$38-0.05)))*12)))))-Assumptions!$C$58-IF(Assumptions!$C$28=1,IF(10=1,Assumptions!$C$26,0),Assumptions!$C$26/Assumptions!$H$15)-Assumptions!$C$33)+IF(10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$38-0.05)),IF(Assumptions!$C$37=2,(-FV(Assumptions!$C$40/12,Assumptions!$H$15*12,PMT(Assumptions!$C$40/12,Assumptions!$C$42*12,((Assumptions!$C$15*(1+0.1))*(Assumptions!$C$38-0.05))),((Assumptions!$C$15*(1+0.1))*(Assumptions!$C$38-0.05)))),(-FV(Assumptions!$C$40/12,MAX(0,Assumptions!$H$15-Assumptions!$C$41)*12,PMT(Assumptions!$C$40/12,Assumptions!$C$42*12,((Assumptions!$C$15*(1+0.1))*(Assumptions!$C$38-0.05))),((Assumptions!$C$15*(1+0.1))*(Assumptions!$C$38-0.05)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N81" s="99" t="n">
        <f aca="false">IFERROR(IRR(C81:M81),0)</f>
        <v>0</v>
      </c>
    </row>
    <row r="82" customFormat="false" ht="15" hidden="false" customHeight="true" outlineLevel="0" collapsed="false">
      <c r="C82" s="98" t="n">
        <f aca="false">-(((Assumptions!$C$15*(1-0.1))*(1+Assumptions!$C$18))-((Assumptions!$C$15*(1-0.1))*(Assumptions!$C$38-0.1)))</f>
        <v>-0</v>
      </c>
      <c r="D82" s="98" t="n">
        <f aca="false">IF(1&gt;Assumptions!$H$15,0,IF('Pro Forma'!D$26="",0,'Pro Forma'!D$26-(IF(Assumptions!$C$37=1,(((Assumptions!$C$15*(1+0.1))*Assumptions!$C$38)*Assumptions!$C$40),IF(Assumptions!$C$37=2,(-PMT(Assumptions!$C$40/12,Assumptions!$C$42*12,((Assumptions!$C$15*(1+0.1))*Assumptions!$C$38))*12),IF(1&lt;=Assumptions!$C$41,(((Assumptions!$C$15*(1+0.1))*Assumptions!$C$38)*Assumptions!$C$40),(-PMT(Assumptions!$C$40/12,Assumptions!$C$42*12,((Assumptions!$C$15*(1+0.1))*Assumptions!$C$38))*12)))))-Assumptions!$C$58-IF(Assumptions!$C$28=1,IF(1=1,Assumptions!$C$26,0),Assumptions!$C$26/Assumptions!$H$15)-Assumptions!$C$33)+IF(1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Assumptions!$C$38),IF(Assumptions!$C$37=2,(-FV(Assumptions!$C$40/12,Assumptions!$H$15*12,PMT(Assumptions!$C$40/12,Assumptions!$C$42*12,((Assumptions!$C$15*(1+0.1))*Assumptions!$C$38)),((Assumptions!$C$15*(1+0.1))*Assumptions!$C$38))),(-FV(Assumptions!$C$40/12,MAX(0,Assumptions!$H$15-Assumptions!$C$41)*12,PMT(Assumptions!$C$40/12,Assumptions!$C$42*12,((Assumptions!$C$15*(1+0.1))*Assumptions!$C$38)),((Assumptions!$C$15*(1+0.1)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E82" s="98" t="n">
        <f aca="false">IF(2&gt;Assumptions!$H$15,0,IF('Pro Forma'!E$26="",0,'Pro Forma'!E$26-(IF(Assumptions!$C$37=1,(((Assumptions!$C$15*(1+0.1))*Assumptions!$C$38)*Assumptions!$C$40),IF(Assumptions!$C$37=2,(-PMT(Assumptions!$C$40/12,Assumptions!$C$42*12,((Assumptions!$C$15*(1+0.1))*Assumptions!$C$38))*12),IF(2&lt;=Assumptions!$C$41,(((Assumptions!$C$15*(1+0.1))*Assumptions!$C$38)*Assumptions!$C$40),(-PMT(Assumptions!$C$40/12,Assumptions!$C$42*12,((Assumptions!$C$15*(1+0.1))*Assumptions!$C$38))*12)))))-Assumptions!$C$58-IF(Assumptions!$C$28=1,IF(2=1,Assumptions!$C$26,0),Assumptions!$C$26/Assumptions!$H$15)-Assumptions!$C$33)+IF(2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Assumptions!$C$38),IF(Assumptions!$C$37=2,(-FV(Assumptions!$C$40/12,Assumptions!$H$15*12,PMT(Assumptions!$C$40/12,Assumptions!$C$42*12,((Assumptions!$C$15*(1+0.1))*Assumptions!$C$38)),((Assumptions!$C$15*(1+0.1))*Assumptions!$C$38))),(-FV(Assumptions!$C$40/12,MAX(0,Assumptions!$H$15-Assumptions!$C$41)*12,PMT(Assumptions!$C$40/12,Assumptions!$C$42*12,((Assumptions!$C$15*(1+0.1))*Assumptions!$C$38)),((Assumptions!$C$15*(1+0.1)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F82" s="98" t="n">
        <f aca="false">IF(3&gt;Assumptions!$H$15,0,IF('Pro Forma'!F$26="",0,'Pro Forma'!F$26-(IF(Assumptions!$C$37=1,(((Assumptions!$C$15*(1+0.1))*Assumptions!$C$38)*Assumptions!$C$40),IF(Assumptions!$C$37=2,(-PMT(Assumptions!$C$40/12,Assumptions!$C$42*12,((Assumptions!$C$15*(1+0.1))*Assumptions!$C$38))*12),IF(3&lt;=Assumptions!$C$41,(((Assumptions!$C$15*(1+0.1))*Assumptions!$C$38)*Assumptions!$C$40),(-PMT(Assumptions!$C$40/12,Assumptions!$C$42*12,((Assumptions!$C$15*(1+0.1))*Assumptions!$C$38))*12)))))-Assumptions!$C$58-IF(Assumptions!$C$28=1,IF(3=1,Assumptions!$C$26,0),Assumptions!$C$26/Assumptions!$H$15)-Assumptions!$C$33)+IF(3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Assumptions!$C$38),IF(Assumptions!$C$37=2,(-FV(Assumptions!$C$40/12,Assumptions!$H$15*12,PMT(Assumptions!$C$40/12,Assumptions!$C$42*12,((Assumptions!$C$15*(1+0.1))*Assumptions!$C$38)),((Assumptions!$C$15*(1+0.1))*Assumptions!$C$38))),(-FV(Assumptions!$C$40/12,MAX(0,Assumptions!$H$15-Assumptions!$C$41)*12,PMT(Assumptions!$C$40/12,Assumptions!$C$42*12,((Assumptions!$C$15*(1+0.1))*Assumptions!$C$38)),((Assumptions!$C$15*(1+0.1)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G82" s="98" t="n">
        <f aca="false">IF(4&gt;Assumptions!$H$15,0,IF('Pro Forma'!G$26="",0,'Pro Forma'!G$26-(IF(Assumptions!$C$37=1,(((Assumptions!$C$15*(1+0.1))*Assumptions!$C$38)*Assumptions!$C$40),IF(Assumptions!$C$37=2,(-PMT(Assumptions!$C$40/12,Assumptions!$C$42*12,((Assumptions!$C$15*(1+0.1))*Assumptions!$C$38))*12),IF(4&lt;=Assumptions!$C$41,(((Assumptions!$C$15*(1+0.1))*Assumptions!$C$38)*Assumptions!$C$40),(-PMT(Assumptions!$C$40/12,Assumptions!$C$42*12,((Assumptions!$C$15*(1+0.1))*Assumptions!$C$38))*12)))))-Assumptions!$C$58-IF(Assumptions!$C$28=1,IF(4=1,Assumptions!$C$26,0),Assumptions!$C$26/Assumptions!$H$15)-Assumptions!$C$33)+IF(4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Assumptions!$C$38),IF(Assumptions!$C$37=2,(-FV(Assumptions!$C$40/12,Assumptions!$H$15*12,PMT(Assumptions!$C$40/12,Assumptions!$C$42*12,((Assumptions!$C$15*(1+0.1))*Assumptions!$C$38)),((Assumptions!$C$15*(1+0.1))*Assumptions!$C$38))),(-FV(Assumptions!$C$40/12,MAX(0,Assumptions!$H$15-Assumptions!$C$41)*12,PMT(Assumptions!$C$40/12,Assumptions!$C$42*12,((Assumptions!$C$15*(1+0.1))*Assumptions!$C$38)),((Assumptions!$C$15*(1+0.1)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H82" s="98" t="n">
        <f aca="false">IF(5&gt;Assumptions!$H$15,0,IF('Pro Forma'!H$26="",0,'Pro Forma'!H$26-(IF(Assumptions!$C$37=1,(((Assumptions!$C$15*(1+0.1))*Assumptions!$C$38)*Assumptions!$C$40),IF(Assumptions!$C$37=2,(-PMT(Assumptions!$C$40/12,Assumptions!$C$42*12,((Assumptions!$C$15*(1+0.1))*Assumptions!$C$38))*12),IF(5&lt;=Assumptions!$C$41,(((Assumptions!$C$15*(1+0.1))*Assumptions!$C$38)*Assumptions!$C$40),(-PMT(Assumptions!$C$40/12,Assumptions!$C$42*12,((Assumptions!$C$15*(1+0.1))*Assumptions!$C$38))*12)))))-Assumptions!$C$58-IF(Assumptions!$C$28=1,IF(5=1,Assumptions!$C$26,0),Assumptions!$C$26/Assumptions!$H$15)-Assumptions!$C$33)+IF(5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Assumptions!$C$38),IF(Assumptions!$C$37=2,(-FV(Assumptions!$C$40/12,Assumptions!$H$15*12,PMT(Assumptions!$C$40/12,Assumptions!$C$42*12,((Assumptions!$C$15*(1+0.1))*Assumptions!$C$38)),((Assumptions!$C$15*(1+0.1))*Assumptions!$C$38))),(-FV(Assumptions!$C$40/12,MAX(0,Assumptions!$H$15-Assumptions!$C$41)*12,PMT(Assumptions!$C$40/12,Assumptions!$C$42*12,((Assumptions!$C$15*(1+0.1))*Assumptions!$C$38)),((Assumptions!$C$15*(1+0.1)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I82" s="98" t="n">
        <f aca="false">IF(6&gt;Assumptions!$H$15,0,IF('Pro Forma'!I$26="",0,'Pro Forma'!I$26-(IF(Assumptions!$C$37=1,(((Assumptions!$C$15*(1+0.1))*Assumptions!$C$38)*Assumptions!$C$40),IF(Assumptions!$C$37=2,(-PMT(Assumptions!$C$40/12,Assumptions!$C$42*12,((Assumptions!$C$15*(1+0.1))*Assumptions!$C$38))*12),IF(6&lt;=Assumptions!$C$41,(((Assumptions!$C$15*(1+0.1))*Assumptions!$C$38)*Assumptions!$C$40),(-PMT(Assumptions!$C$40/12,Assumptions!$C$42*12,((Assumptions!$C$15*(1+0.1))*Assumptions!$C$38))*12)))))-Assumptions!$C$58-IF(Assumptions!$C$28=1,IF(6=1,Assumptions!$C$26,0),Assumptions!$C$26/Assumptions!$H$15)-Assumptions!$C$33)+IF(6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Assumptions!$C$38),IF(Assumptions!$C$37=2,(-FV(Assumptions!$C$40/12,Assumptions!$H$15*12,PMT(Assumptions!$C$40/12,Assumptions!$C$42*12,((Assumptions!$C$15*(1+0.1))*Assumptions!$C$38)),((Assumptions!$C$15*(1+0.1))*Assumptions!$C$38))),(-FV(Assumptions!$C$40/12,MAX(0,Assumptions!$H$15-Assumptions!$C$41)*12,PMT(Assumptions!$C$40/12,Assumptions!$C$42*12,((Assumptions!$C$15*(1+0.1))*Assumptions!$C$38)),((Assumptions!$C$15*(1+0.1)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J82" s="98" t="n">
        <f aca="false">IF(7&gt;Assumptions!$H$15,0,IF('Pro Forma'!J$26="",0,'Pro Forma'!J$26-(IF(Assumptions!$C$37=1,(((Assumptions!$C$15*(1+0.1))*Assumptions!$C$38)*Assumptions!$C$40),IF(Assumptions!$C$37=2,(-PMT(Assumptions!$C$40/12,Assumptions!$C$42*12,((Assumptions!$C$15*(1+0.1))*Assumptions!$C$38))*12),IF(7&lt;=Assumptions!$C$41,(((Assumptions!$C$15*(1+0.1))*Assumptions!$C$38)*Assumptions!$C$40),(-PMT(Assumptions!$C$40/12,Assumptions!$C$42*12,((Assumptions!$C$15*(1+0.1))*Assumptions!$C$38))*12)))))-Assumptions!$C$58-IF(Assumptions!$C$28=1,IF(7=1,Assumptions!$C$26,0),Assumptions!$C$26/Assumptions!$H$15)-Assumptions!$C$33)+IF(7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Assumptions!$C$38),IF(Assumptions!$C$37=2,(-FV(Assumptions!$C$40/12,Assumptions!$H$15*12,PMT(Assumptions!$C$40/12,Assumptions!$C$42*12,((Assumptions!$C$15*(1+0.1))*Assumptions!$C$38)),((Assumptions!$C$15*(1+0.1))*Assumptions!$C$38))),(-FV(Assumptions!$C$40/12,MAX(0,Assumptions!$H$15-Assumptions!$C$41)*12,PMT(Assumptions!$C$40/12,Assumptions!$C$42*12,((Assumptions!$C$15*(1+0.1))*Assumptions!$C$38)),((Assumptions!$C$15*(1+0.1)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K82" s="98" t="n">
        <f aca="false">IF(8&gt;Assumptions!$H$15,0,IF('Pro Forma'!K$26="",0,'Pro Forma'!K$26-(IF(Assumptions!$C$37=1,(((Assumptions!$C$15*(1+0.1))*Assumptions!$C$38)*Assumptions!$C$40),IF(Assumptions!$C$37=2,(-PMT(Assumptions!$C$40/12,Assumptions!$C$42*12,((Assumptions!$C$15*(1+0.1))*Assumptions!$C$38))*12),IF(8&lt;=Assumptions!$C$41,(((Assumptions!$C$15*(1+0.1))*Assumptions!$C$38)*Assumptions!$C$40),(-PMT(Assumptions!$C$40/12,Assumptions!$C$42*12,((Assumptions!$C$15*(1+0.1))*Assumptions!$C$38))*12)))))-Assumptions!$C$58-IF(Assumptions!$C$28=1,IF(8=1,Assumptions!$C$26,0),Assumptions!$C$26/Assumptions!$H$15)-Assumptions!$C$33)+IF(8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Assumptions!$C$38),IF(Assumptions!$C$37=2,(-FV(Assumptions!$C$40/12,Assumptions!$H$15*12,PMT(Assumptions!$C$40/12,Assumptions!$C$42*12,((Assumptions!$C$15*(1+0.1))*Assumptions!$C$38)),((Assumptions!$C$15*(1+0.1))*Assumptions!$C$38))),(-FV(Assumptions!$C$40/12,MAX(0,Assumptions!$H$15-Assumptions!$C$41)*12,PMT(Assumptions!$C$40/12,Assumptions!$C$42*12,((Assumptions!$C$15*(1+0.1))*Assumptions!$C$38)),((Assumptions!$C$15*(1+0.1)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L82" s="98" t="n">
        <f aca="false">IF(9&gt;Assumptions!$H$15,0,IF('Pro Forma'!L$26="",0,'Pro Forma'!L$26-(IF(Assumptions!$C$37=1,(((Assumptions!$C$15*(1+0.1))*Assumptions!$C$38)*Assumptions!$C$40),IF(Assumptions!$C$37=2,(-PMT(Assumptions!$C$40/12,Assumptions!$C$42*12,((Assumptions!$C$15*(1+0.1))*Assumptions!$C$38))*12),IF(9&lt;=Assumptions!$C$41,(((Assumptions!$C$15*(1+0.1))*Assumptions!$C$38)*Assumptions!$C$40),(-PMT(Assumptions!$C$40/12,Assumptions!$C$42*12,((Assumptions!$C$15*(1+0.1))*Assumptions!$C$38))*12)))))-Assumptions!$C$58-IF(Assumptions!$C$28=1,IF(9=1,Assumptions!$C$26,0),Assumptions!$C$26/Assumptions!$H$15)-Assumptions!$C$33)+IF(9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Assumptions!$C$38),IF(Assumptions!$C$37=2,(-FV(Assumptions!$C$40/12,Assumptions!$H$15*12,PMT(Assumptions!$C$40/12,Assumptions!$C$42*12,((Assumptions!$C$15*(1+0.1))*Assumptions!$C$38)),((Assumptions!$C$15*(1+0.1))*Assumptions!$C$38))),(-FV(Assumptions!$C$40/12,MAX(0,Assumptions!$H$15-Assumptions!$C$41)*12,PMT(Assumptions!$C$40/12,Assumptions!$C$42*12,((Assumptions!$C$15*(1+0.1))*Assumptions!$C$38)),((Assumptions!$C$15*(1+0.1)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M82" s="98" t="n">
        <f aca="false">IF(10&gt;Assumptions!$H$15,0,IF('Pro Forma'!M$26="",0,'Pro Forma'!M$26-(IF(Assumptions!$C$37=1,(((Assumptions!$C$15*(1+0.1))*Assumptions!$C$38)*Assumptions!$C$40),IF(Assumptions!$C$37=2,(-PMT(Assumptions!$C$40/12,Assumptions!$C$42*12,((Assumptions!$C$15*(1+0.1))*Assumptions!$C$38))*12),IF(10&lt;=Assumptions!$C$41,(((Assumptions!$C$15*(1+0.1))*Assumptions!$C$38)*Assumptions!$C$40),(-PMT(Assumptions!$C$40/12,Assumptions!$C$42*12,((Assumptions!$C$15*(1+0.1))*Assumptions!$C$38))*12)))))-Assumptions!$C$58-IF(Assumptions!$C$28=1,IF(10=1,Assumptions!$C$26,0),Assumptions!$C$26/Assumptions!$H$15)-Assumptions!$C$33)+IF(10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Assumptions!$C$38),IF(Assumptions!$C$37=2,(-FV(Assumptions!$C$40/12,Assumptions!$H$15*12,PMT(Assumptions!$C$40/12,Assumptions!$C$42*12,((Assumptions!$C$15*(1+0.1))*Assumptions!$C$38)),((Assumptions!$C$15*(1+0.1))*Assumptions!$C$38))),(-FV(Assumptions!$C$40/12,MAX(0,Assumptions!$H$15-Assumptions!$C$41)*12,PMT(Assumptions!$C$40/12,Assumptions!$C$42*12,((Assumptions!$C$15*(1+0.1))*Assumptions!$C$38)),((Assumptions!$C$15*(1+0.1))*Assumptions!$C$38)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N82" s="99" t="n">
        <f aca="false">IFERROR(IRR(C82:M82),0)</f>
        <v>0</v>
      </c>
    </row>
    <row r="83" customFormat="false" ht="15" hidden="false" customHeight="true" outlineLevel="0" collapsed="false">
      <c r="C83" s="98" t="n">
        <f aca="false">-(((Assumptions!$C$15*(1-0.1))*(1+Assumptions!$C$18))-((Assumptions!$C$15*(1-0.1))*(Assumptions!$C$38-0.1)))</f>
        <v>-0</v>
      </c>
      <c r="D83" s="98" t="n">
        <f aca="false">IF(1&gt;Assumptions!$H$15,0,IF('Pro Forma'!D$26="",0,'Pro Forma'!D$26-(IF(Assumptions!$C$37=1,(((Assumptions!$C$15*(1+0.1))*(Assumptions!$C$38+0.05))*Assumptions!$C$40),IF(Assumptions!$C$37=2,(-PMT(Assumptions!$C$40/12,Assumptions!$C$42*12,((Assumptions!$C$15*(1+0.1))*(Assumptions!$C$38+0.05)))*12),IF(1&lt;=Assumptions!$C$41,(((Assumptions!$C$15*(1+0.1))*(Assumptions!$C$38+0.05))*Assumptions!$C$40),(-PMT(Assumptions!$C$40/12,Assumptions!$C$42*12,((Assumptions!$C$15*(1+0.1))*(Assumptions!$C$38+0.05)))*12)))))-Assumptions!$C$58-IF(Assumptions!$C$28=1,IF(1=1,Assumptions!$C$26,0),Assumptions!$C$26/Assumptions!$H$15)-Assumptions!$C$33)+IF(1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+0.05)),IF(Assumptions!$C$37=2,(-FV(Assumptions!$C$40/12,Assumptions!$H$15*12,PMT(Assumptions!$C$40/12,Assumptions!$C$42*12,((Assumptions!$C$15*(1+0.1))*(Assumptions!$C$38+0.05))),((Assumptions!$C$15*(1+0.1))*(Assumptions!$C$38+0.05)))),(-FV(Assumptions!$C$40/12,MAX(0,Assumptions!$H$15-Assumptions!$C$41)*12,PMT(Assumptions!$C$40/12,Assumptions!$C$42*12,((Assumptions!$C$15*(1+0.1))*(Assumptions!$C$38+0.05))),((Assumptions!$C$15*(1+0.1)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E83" s="98" t="n">
        <f aca="false">IF(2&gt;Assumptions!$H$15,0,IF('Pro Forma'!E$26="",0,'Pro Forma'!E$26-(IF(Assumptions!$C$37=1,(((Assumptions!$C$15*(1+0.1))*(Assumptions!$C$38+0.05))*Assumptions!$C$40),IF(Assumptions!$C$37=2,(-PMT(Assumptions!$C$40/12,Assumptions!$C$42*12,((Assumptions!$C$15*(1+0.1))*(Assumptions!$C$38+0.05)))*12),IF(2&lt;=Assumptions!$C$41,(((Assumptions!$C$15*(1+0.1))*(Assumptions!$C$38+0.05))*Assumptions!$C$40),(-PMT(Assumptions!$C$40/12,Assumptions!$C$42*12,((Assumptions!$C$15*(1+0.1))*(Assumptions!$C$38+0.05)))*12)))))-Assumptions!$C$58-IF(Assumptions!$C$28=1,IF(2=1,Assumptions!$C$26,0),Assumptions!$C$26/Assumptions!$H$15)-Assumptions!$C$33)+IF(2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+0.05)),IF(Assumptions!$C$37=2,(-FV(Assumptions!$C$40/12,Assumptions!$H$15*12,PMT(Assumptions!$C$40/12,Assumptions!$C$42*12,((Assumptions!$C$15*(1+0.1))*(Assumptions!$C$38+0.05))),((Assumptions!$C$15*(1+0.1))*(Assumptions!$C$38+0.05)))),(-FV(Assumptions!$C$40/12,MAX(0,Assumptions!$H$15-Assumptions!$C$41)*12,PMT(Assumptions!$C$40/12,Assumptions!$C$42*12,((Assumptions!$C$15*(1+0.1))*(Assumptions!$C$38+0.05))),((Assumptions!$C$15*(1+0.1)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F83" s="98" t="n">
        <f aca="false">IF(3&gt;Assumptions!$H$15,0,IF('Pro Forma'!F$26="",0,'Pro Forma'!F$26-(IF(Assumptions!$C$37=1,(((Assumptions!$C$15*(1+0.1))*(Assumptions!$C$38+0.05))*Assumptions!$C$40),IF(Assumptions!$C$37=2,(-PMT(Assumptions!$C$40/12,Assumptions!$C$42*12,((Assumptions!$C$15*(1+0.1))*(Assumptions!$C$38+0.05)))*12),IF(3&lt;=Assumptions!$C$41,(((Assumptions!$C$15*(1+0.1))*(Assumptions!$C$38+0.05))*Assumptions!$C$40),(-PMT(Assumptions!$C$40/12,Assumptions!$C$42*12,((Assumptions!$C$15*(1+0.1))*(Assumptions!$C$38+0.05)))*12)))))-Assumptions!$C$58-IF(Assumptions!$C$28=1,IF(3=1,Assumptions!$C$26,0),Assumptions!$C$26/Assumptions!$H$15)-Assumptions!$C$33)+IF(3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+0.05)),IF(Assumptions!$C$37=2,(-FV(Assumptions!$C$40/12,Assumptions!$H$15*12,PMT(Assumptions!$C$40/12,Assumptions!$C$42*12,((Assumptions!$C$15*(1+0.1))*(Assumptions!$C$38+0.05))),((Assumptions!$C$15*(1+0.1))*(Assumptions!$C$38+0.05)))),(-FV(Assumptions!$C$40/12,MAX(0,Assumptions!$H$15-Assumptions!$C$41)*12,PMT(Assumptions!$C$40/12,Assumptions!$C$42*12,((Assumptions!$C$15*(1+0.1))*(Assumptions!$C$38+0.05))),((Assumptions!$C$15*(1+0.1)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G83" s="98" t="n">
        <f aca="false">IF(4&gt;Assumptions!$H$15,0,IF('Pro Forma'!G$26="",0,'Pro Forma'!G$26-(IF(Assumptions!$C$37=1,(((Assumptions!$C$15*(1+0.1))*(Assumptions!$C$38+0.05))*Assumptions!$C$40),IF(Assumptions!$C$37=2,(-PMT(Assumptions!$C$40/12,Assumptions!$C$42*12,((Assumptions!$C$15*(1+0.1))*(Assumptions!$C$38+0.05)))*12),IF(4&lt;=Assumptions!$C$41,(((Assumptions!$C$15*(1+0.1))*(Assumptions!$C$38+0.05))*Assumptions!$C$40),(-PMT(Assumptions!$C$40/12,Assumptions!$C$42*12,((Assumptions!$C$15*(1+0.1))*(Assumptions!$C$38+0.05)))*12)))))-Assumptions!$C$58-IF(Assumptions!$C$28=1,IF(4=1,Assumptions!$C$26,0),Assumptions!$C$26/Assumptions!$H$15)-Assumptions!$C$33)+IF(4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+0.05)),IF(Assumptions!$C$37=2,(-FV(Assumptions!$C$40/12,Assumptions!$H$15*12,PMT(Assumptions!$C$40/12,Assumptions!$C$42*12,((Assumptions!$C$15*(1+0.1))*(Assumptions!$C$38+0.05))),((Assumptions!$C$15*(1+0.1))*(Assumptions!$C$38+0.05)))),(-FV(Assumptions!$C$40/12,MAX(0,Assumptions!$H$15-Assumptions!$C$41)*12,PMT(Assumptions!$C$40/12,Assumptions!$C$42*12,((Assumptions!$C$15*(1+0.1))*(Assumptions!$C$38+0.05))),((Assumptions!$C$15*(1+0.1)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H83" s="98" t="n">
        <f aca="false">IF(5&gt;Assumptions!$H$15,0,IF('Pro Forma'!H$26="",0,'Pro Forma'!H$26-(IF(Assumptions!$C$37=1,(((Assumptions!$C$15*(1+0.1))*(Assumptions!$C$38+0.05))*Assumptions!$C$40),IF(Assumptions!$C$37=2,(-PMT(Assumptions!$C$40/12,Assumptions!$C$42*12,((Assumptions!$C$15*(1+0.1))*(Assumptions!$C$38+0.05)))*12),IF(5&lt;=Assumptions!$C$41,(((Assumptions!$C$15*(1+0.1))*(Assumptions!$C$38+0.05))*Assumptions!$C$40),(-PMT(Assumptions!$C$40/12,Assumptions!$C$42*12,((Assumptions!$C$15*(1+0.1))*(Assumptions!$C$38+0.05)))*12)))))-Assumptions!$C$58-IF(Assumptions!$C$28=1,IF(5=1,Assumptions!$C$26,0),Assumptions!$C$26/Assumptions!$H$15)-Assumptions!$C$33)+IF(5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+0.05)),IF(Assumptions!$C$37=2,(-FV(Assumptions!$C$40/12,Assumptions!$H$15*12,PMT(Assumptions!$C$40/12,Assumptions!$C$42*12,((Assumptions!$C$15*(1+0.1))*(Assumptions!$C$38+0.05))),((Assumptions!$C$15*(1+0.1))*(Assumptions!$C$38+0.05)))),(-FV(Assumptions!$C$40/12,MAX(0,Assumptions!$H$15-Assumptions!$C$41)*12,PMT(Assumptions!$C$40/12,Assumptions!$C$42*12,((Assumptions!$C$15*(1+0.1))*(Assumptions!$C$38+0.05))),((Assumptions!$C$15*(1+0.1)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I83" s="98" t="n">
        <f aca="false">IF(6&gt;Assumptions!$H$15,0,IF('Pro Forma'!I$26="",0,'Pro Forma'!I$26-(IF(Assumptions!$C$37=1,(((Assumptions!$C$15*(1+0.1))*(Assumptions!$C$38+0.05))*Assumptions!$C$40),IF(Assumptions!$C$37=2,(-PMT(Assumptions!$C$40/12,Assumptions!$C$42*12,((Assumptions!$C$15*(1+0.1))*(Assumptions!$C$38+0.05)))*12),IF(6&lt;=Assumptions!$C$41,(((Assumptions!$C$15*(1+0.1))*(Assumptions!$C$38+0.05))*Assumptions!$C$40),(-PMT(Assumptions!$C$40/12,Assumptions!$C$42*12,((Assumptions!$C$15*(1+0.1))*(Assumptions!$C$38+0.05)))*12)))))-Assumptions!$C$58-IF(Assumptions!$C$28=1,IF(6=1,Assumptions!$C$26,0),Assumptions!$C$26/Assumptions!$H$15)-Assumptions!$C$33)+IF(6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+0.05)),IF(Assumptions!$C$37=2,(-FV(Assumptions!$C$40/12,Assumptions!$H$15*12,PMT(Assumptions!$C$40/12,Assumptions!$C$42*12,((Assumptions!$C$15*(1+0.1))*(Assumptions!$C$38+0.05))),((Assumptions!$C$15*(1+0.1))*(Assumptions!$C$38+0.05)))),(-FV(Assumptions!$C$40/12,MAX(0,Assumptions!$H$15-Assumptions!$C$41)*12,PMT(Assumptions!$C$40/12,Assumptions!$C$42*12,((Assumptions!$C$15*(1+0.1))*(Assumptions!$C$38+0.05))),((Assumptions!$C$15*(1+0.1)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J83" s="98" t="n">
        <f aca="false">IF(7&gt;Assumptions!$H$15,0,IF('Pro Forma'!J$26="",0,'Pro Forma'!J$26-(IF(Assumptions!$C$37=1,(((Assumptions!$C$15*(1+0.1))*(Assumptions!$C$38+0.05))*Assumptions!$C$40),IF(Assumptions!$C$37=2,(-PMT(Assumptions!$C$40/12,Assumptions!$C$42*12,((Assumptions!$C$15*(1+0.1))*(Assumptions!$C$38+0.05)))*12),IF(7&lt;=Assumptions!$C$41,(((Assumptions!$C$15*(1+0.1))*(Assumptions!$C$38+0.05))*Assumptions!$C$40),(-PMT(Assumptions!$C$40/12,Assumptions!$C$42*12,((Assumptions!$C$15*(1+0.1))*(Assumptions!$C$38+0.05)))*12)))))-Assumptions!$C$58-IF(Assumptions!$C$28=1,IF(7=1,Assumptions!$C$26,0),Assumptions!$C$26/Assumptions!$H$15)-Assumptions!$C$33)+IF(7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+0.05)),IF(Assumptions!$C$37=2,(-FV(Assumptions!$C$40/12,Assumptions!$H$15*12,PMT(Assumptions!$C$40/12,Assumptions!$C$42*12,((Assumptions!$C$15*(1+0.1))*(Assumptions!$C$38+0.05))),((Assumptions!$C$15*(1+0.1))*(Assumptions!$C$38+0.05)))),(-FV(Assumptions!$C$40/12,MAX(0,Assumptions!$H$15-Assumptions!$C$41)*12,PMT(Assumptions!$C$40/12,Assumptions!$C$42*12,((Assumptions!$C$15*(1+0.1))*(Assumptions!$C$38+0.05))),((Assumptions!$C$15*(1+0.1)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K83" s="98" t="n">
        <f aca="false">IF(8&gt;Assumptions!$H$15,0,IF('Pro Forma'!K$26="",0,'Pro Forma'!K$26-(IF(Assumptions!$C$37=1,(((Assumptions!$C$15*(1+0.1))*(Assumptions!$C$38+0.05))*Assumptions!$C$40),IF(Assumptions!$C$37=2,(-PMT(Assumptions!$C$40/12,Assumptions!$C$42*12,((Assumptions!$C$15*(1+0.1))*(Assumptions!$C$38+0.05)))*12),IF(8&lt;=Assumptions!$C$41,(((Assumptions!$C$15*(1+0.1))*(Assumptions!$C$38+0.05))*Assumptions!$C$40),(-PMT(Assumptions!$C$40/12,Assumptions!$C$42*12,((Assumptions!$C$15*(1+0.1))*(Assumptions!$C$38+0.05)))*12)))))-Assumptions!$C$58-IF(Assumptions!$C$28=1,IF(8=1,Assumptions!$C$26,0),Assumptions!$C$26/Assumptions!$H$15)-Assumptions!$C$33)+IF(8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+0.05)),IF(Assumptions!$C$37=2,(-FV(Assumptions!$C$40/12,Assumptions!$H$15*12,PMT(Assumptions!$C$40/12,Assumptions!$C$42*12,((Assumptions!$C$15*(1+0.1))*(Assumptions!$C$38+0.05))),((Assumptions!$C$15*(1+0.1))*(Assumptions!$C$38+0.05)))),(-FV(Assumptions!$C$40/12,MAX(0,Assumptions!$H$15-Assumptions!$C$41)*12,PMT(Assumptions!$C$40/12,Assumptions!$C$42*12,((Assumptions!$C$15*(1+0.1))*(Assumptions!$C$38+0.05))),((Assumptions!$C$15*(1+0.1)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L83" s="98" t="n">
        <f aca="false">IF(9&gt;Assumptions!$H$15,0,IF('Pro Forma'!L$26="",0,'Pro Forma'!L$26-(IF(Assumptions!$C$37=1,(((Assumptions!$C$15*(1+0.1))*(Assumptions!$C$38+0.05))*Assumptions!$C$40),IF(Assumptions!$C$37=2,(-PMT(Assumptions!$C$40/12,Assumptions!$C$42*12,((Assumptions!$C$15*(1+0.1))*(Assumptions!$C$38+0.05)))*12),IF(9&lt;=Assumptions!$C$41,(((Assumptions!$C$15*(1+0.1))*(Assumptions!$C$38+0.05))*Assumptions!$C$40),(-PMT(Assumptions!$C$40/12,Assumptions!$C$42*12,((Assumptions!$C$15*(1+0.1))*(Assumptions!$C$38+0.05)))*12)))))-Assumptions!$C$58-IF(Assumptions!$C$28=1,IF(9=1,Assumptions!$C$26,0),Assumptions!$C$26/Assumptions!$H$15)-Assumptions!$C$33)+IF(9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+0.05)),IF(Assumptions!$C$37=2,(-FV(Assumptions!$C$40/12,Assumptions!$H$15*12,PMT(Assumptions!$C$40/12,Assumptions!$C$42*12,((Assumptions!$C$15*(1+0.1))*(Assumptions!$C$38+0.05))),((Assumptions!$C$15*(1+0.1))*(Assumptions!$C$38+0.05)))),(-FV(Assumptions!$C$40/12,MAX(0,Assumptions!$H$15-Assumptions!$C$41)*12,PMT(Assumptions!$C$40/12,Assumptions!$C$42*12,((Assumptions!$C$15*(1+0.1))*(Assumptions!$C$38+0.05))),((Assumptions!$C$15*(1+0.1)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M83" s="98" t="n">
        <f aca="false">IF(10&gt;Assumptions!$H$15,0,IF('Pro Forma'!M$26="",0,'Pro Forma'!M$26-(IF(Assumptions!$C$37=1,(((Assumptions!$C$15*(1+0.1))*(Assumptions!$C$38+0.05))*Assumptions!$C$40),IF(Assumptions!$C$37=2,(-PMT(Assumptions!$C$40/12,Assumptions!$C$42*12,((Assumptions!$C$15*(1+0.1))*(Assumptions!$C$38+0.05)))*12),IF(10&lt;=Assumptions!$C$41,(((Assumptions!$C$15*(1+0.1))*(Assumptions!$C$38+0.05))*Assumptions!$C$40),(-PMT(Assumptions!$C$40/12,Assumptions!$C$42*12,((Assumptions!$C$15*(1+0.1))*(Assumptions!$C$38+0.05)))*12)))))-Assumptions!$C$58-IF(Assumptions!$C$28=1,IF(10=1,Assumptions!$C$26,0),Assumptions!$C$26/Assumptions!$H$15)-Assumptions!$C$33)+IF(10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+0.05)),IF(Assumptions!$C$37=2,(-FV(Assumptions!$C$40/12,Assumptions!$H$15*12,PMT(Assumptions!$C$40/12,Assumptions!$C$42*12,((Assumptions!$C$15*(1+0.1))*(Assumptions!$C$38+0.05))),((Assumptions!$C$15*(1+0.1))*(Assumptions!$C$38+0.05)))),(-FV(Assumptions!$C$40/12,MAX(0,Assumptions!$H$15-Assumptions!$C$41)*12,PMT(Assumptions!$C$40/12,Assumptions!$C$42*12,((Assumptions!$C$15*(1+0.1))*(Assumptions!$C$38+0.05))),((Assumptions!$C$15*(1+0.1))*(Assumptions!$C$38+0.05)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N83" s="99" t="n">
        <f aca="false">IFERROR(IRR(C83:M83),0)</f>
        <v>0</v>
      </c>
    </row>
    <row r="84" customFormat="false" ht="15" hidden="false" customHeight="true" outlineLevel="0" collapsed="false">
      <c r="C84" s="98" t="n">
        <f aca="false">-(((Assumptions!$C$15*(1-0.1))*(1+Assumptions!$C$18))-((Assumptions!$C$15*(1-0.1))*(Assumptions!$C$38-0.1)))</f>
        <v>-0</v>
      </c>
      <c r="D84" s="98" t="n">
        <f aca="false">IF(1&gt;Assumptions!$H$15,0,IF('Pro Forma'!D$26="",0,'Pro Forma'!D$26-(IF(Assumptions!$C$37=1,(((Assumptions!$C$15*(1+0.1))*(Assumptions!$C$38+0.1))*Assumptions!$C$40),IF(Assumptions!$C$37=2,(-PMT(Assumptions!$C$40/12,Assumptions!$C$42*12,((Assumptions!$C$15*(1+0.1))*(Assumptions!$C$38+0.1)))*12),IF(1&lt;=Assumptions!$C$41,(((Assumptions!$C$15*(1+0.1))*(Assumptions!$C$38+0.1))*Assumptions!$C$40),(-PMT(Assumptions!$C$40/12,Assumptions!$C$42*12,((Assumptions!$C$15*(1+0.1))*(Assumptions!$C$38+0.1)))*12)))))-Assumptions!$C$58-IF(Assumptions!$C$28=1,IF(1=1,Assumptions!$C$26,0),Assumptions!$C$26/Assumptions!$H$15)-Assumptions!$C$33)+IF(1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+0.1)),IF(Assumptions!$C$37=2,(-FV(Assumptions!$C$40/12,Assumptions!$H$15*12,PMT(Assumptions!$C$40/12,Assumptions!$C$42*12,((Assumptions!$C$15*(1+0.1))*(Assumptions!$C$38+0.1))),((Assumptions!$C$15*(1+0.1))*(Assumptions!$C$38+0.1)))),(-FV(Assumptions!$C$40/12,MAX(0,Assumptions!$H$15-Assumptions!$C$41)*12,PMT(Assumptions!$C$40/12,Assumptions!$C$42*12,((Assumptions!$C$15*(1+0.1))*(Assumptions!$C$38+0.1))),((Assumptions!$C$15*(1+0.1)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E84" s="98" t="n">
        <f aca="false">IF(2&gt;Assumptions!$H$15,0,IF('Pro Forma'!E$26="",0,'Pro Forma'!E$26-(IF(Assumptions!$C$37=1,(((Assumptions!$C$15*(1+0.1))*(Assumptions!$C$38+0.1))*Assumptions!$C$40),IF(Assumptions!$C$37=2,(-PMT(Assumptions!$C$40/12,Assumptions!$C$42*12,((Assumptions!$C$15*(1+0.1))*(Assumptions!$C$38+0.1)))*12),IF(2&lt;=Assumptions!$C$41,(((Assumptions!$C$15*(1+0.1))*(Assumptions!$C$38+0.1))*Assumptions!$C$40),(-PMT(Assumptions!$C$40/12,Assumptions!$C$42*12,((Assumptions!$C$15*(1+0.1))*(Assumptions!$C$38+0.1)))*12)))))-Assumptions!$C$58-IF(Assumptions!$C$28=1,IF(2=1,Assumptions!$C$26,0),Assumptions!$C$26/Assumptions!$H$15)-Assumptions!$C$33)+IF(2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+0.1)),IF(Assumptions!$C$37=2,(-FV(Assumptions!$C$40/12,Assumptions!$H$15*12,PMT(Assumptions!$C$40/12,Assumptions!$C$42*12,((Assumptions!$C$15*(1+0.1))*(Assumptions!$C$38+0.1))),((Assumptions!$C$15*(1+0.1))*(Assumptions!$C$38+0.1)))),(-FV(Assumptions!$C$40/12,MAX(0,Assumptions!$H$15-Assumptions!$C$41)*12,PMT(Assumptions!$C$40/12,Assumptions!$C$42*12,((Assumptions!$C$15*(1+0.1))*(Assumptions!$C$38+0.1))),((Assumptions!$C$15*(1+0.1)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F84" s="98" t="n">
        <f aca="false">IF(3&gt;Assumptions!$H$15,0,IF('Pro Forma'!F$26="",0,'Pro Forma'!F$26-(IF(Assumptions!$C$37=1,(((Assumptions!$C$15*(1+0.1))*(Assumptions!$C$38+0.1))*Assumptions!$C$40),IF(Assumptions!$C$37=2,(-PMT(Assumptions!$C$40/12,Assumptions!$C$42*12,((Assumptions!$C$15*(1+0.1))*(Assumptions!$C$38+0.1)))*12),IF(3&lt;=Assumptions!$C$41,(((Assumptions!$C$15*(1+0.1))*(Assumptions!$C$38+0.1))*Assumptions!$C$40),(-PMT(Assumptions!$C$40/12,Assumptions!$C$42*12,((Assumptions!$C$15*(1+0.1))*(Assumptions!$C$38+0.1)))*12)))))-Assumptions!$C$58-IF(Assumptions!$C$28=1,IF(3=1,Assumptions!$C$26,0),Assumptions!$C$26/Assumptions!$H$15)-Assumptions!$C$33)+IF(3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+0.1)),IF(Assumptions!$C$37=2,(-FV(Assumptions!$C$40/12,Assumptions!$H$15*12,PMT(Assumptions!$C$40/12,Assumptions!$C$42*12,((Assumptions!$C$15*(1+0.1))*(Assumptions!$C$38+0.1))),((Assumptions!$C$15*(1+0.1))*(Assumptions!$C$38+0.1)))),(-FV(Assumptions!$C$40/12,MAX(0,Assumptions!$H$15-Assumptions!$C$41)*12,PMT(Assumptions!$C$40/12,Assumptions!$C$42*12,((Assumptions!$C$15*(1+0.1))*(Assumptions!$C$38+0.1))),((Assumptions!$C$15*(1+0.1)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G84" s="98" t="n">
        <f aca="false">IF(4&gt;Assumptions!$H$15,0,IF('Pro Forma'!G$26="",0,'Pro Forma'!G$26-(IF(Assumptions!$C$37=1,(((Assumptions!$C$15*(1+0.1))*(Assumptions!$C$38+0.1))*Assumptions!$C$40),IF(Assumptions!$C$37=2,(-PMT(Assumptions!$C$40/12,Assumptions!$C$42*12,((Assumptions!$C$15*(1+0.1))*(Assumptions!$C$38+0.1)))*12),IF(4&lt;=Assumptions!$C$41,(((Assumptions!$C$15*(1+0.1))*(Assumptions!$C$38+0.1))*Assumptions!$C$40),(-PMT(Assumptions!$C$40/12,Assumptions!$C$42*12,((Assumptions!$C$15*(1+0.1))*(Assumptions!$C$38+0.1)))*12)))))-Assumptions!$C$58-IF(Assumptions!$C$28=1,IF(4=1,Assumptions!$C$26,0),Assumptions!$C$26/Assumptions!$H$15)-Assumptions!$C$33)+IF(4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+0.1)),IF(Assumptions!$C$37=2,(-FV(Assumptions!$C$40/12,Assumptions!$H$15*12,PMT(Assumptions!$C$40/12,Assumptions!$C$42*12,((Assumptions!$C$15*(1+0.1))*(Assumptions!$C$38+0.1))),((Assumptions!$C$15*(1+0.1))*(Assumptions!$C$38+0.1)))),(-FV(Assumptions!$C$40/12,MAX(0,Assumptions!$H$15-Assumptions!$C$41)*12,PMT(Assumptions!$C$40/12,Assumptions!$C$42*12,((Assumptions!$C$15*(1+0.1))*(Assumptions!$C$38+0.1))),((Assumptions!$C$15*(1+0.1)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H84" s="98" t="n">
        <f aca="false">IF(5&gt;Assumptions!$H$15,0,IF('Pro Forma'!H$26="",0,'Pro Forma'!H$26-(IF(Assumptions!$C$37=1,(((Assumptions!$C$15*(1+0.1))*(Assumptions!$C$38+0.1))*Assumptions!$C$40),IF(Assumptions!$C$37=2,(-PMT(Assumptions!$C$40/12,Assumptions!$C$42*12,((Assumptions!$C$15*(1+0.1))*(Assumptions!$C$38+0.1)))*12),IF(5&lt;=Assumptions!$C$41,(((Assumptions!$C$15*(1+0.1))*(Assumptions!$C$38+0.1))*Assumptions!$C$40),(-PMT(Assumptions!$C$40/12,Assumptions!$C$42*12,((Assumptions!$C$15*(1+0.1))*(Assumptions!$C$38+0.1)))*12)))))-Assumptions!$C$58-IF(Assumptions!$C$28=1,IF(5=1,Assumptions!$C$26,0),Assumptions!$C$26/Assumptions!$H$15)-Assumptions!$C$33)+IF(5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+0.1)),IF(Assumptions!$C$37=2,(-FV(Assumptions!$C$40/12,Assumptions!$H$15*12,PMT(Assumptions!$C$40/12,Assumptions!$C$42*12,((Assumptions!$C$15*(1+0.1))*(Assumptions!$C$38+0.1))),((Assumptions!$C$15*(1+0.1))*(Assumptions!$C$38+0.1)))),(-FV(Assumptions!$C$40/12,MAX(0,Assumptions!$H$15-Assumptions!$C$41)*12,PMT(Assumptions!$C$40/12,Assumptions!$C$42*12,((Assumptions!$C$15*(1+0.1))*(Assumptions!$C$38+0.1))),((Assumptions!$C$15*(1+0.1)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I84" s="98" t="n">
        <f aca="false">IF(6&gt;Assumptions!$H$15,0,IF('Pro Forma'!I$26="",0,'Pro Forma'!I$26-(IF(Assumptions!$C$37=1,(((Assumptions!$C$15*(1+0.1))*(Assumptions!$C$38+0.1))*Assumptions!$C$40),IF(Assumptions!$C$37=2,(-PMT(Assumptions!$C$40/12,Assumptions!$C$42*12,((Assumptions!$C$15*(1+0.1))*(Assumptions!$C$38+0.1)))*12),IF(6&lt;=Assumptions!$C$41,(((Assumptions!$C$15*(1+0.1))*(Assumptions!$C$38+0.1))*Assumptions!$C$40),(-PMT(Assumptions!$C$40/12,Assumptions!$C$42*12,((Assumptions!$C$15*(1+0.1))*(Assumptions!$C$38+0.1)))*12)))))-Assumptions!$C$58-IF(Assumptions!$C$28=1,IF(6=1,Assumptions!$C$26,0),Assumptions!$C$26/Assumptions!$H$15)-Assumptions!$C$33)+IF(6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+0.1)),IF(Assumptions!$C$37=2,(-FV(Assumptions!$C$40/12,Assumptions!$H$15*12,PMT(Assumptions!$C$40/12,Assumptions!$C$42*12,((Assumptions!$C$15*(1+0.1))*(Assumptions!$C$38+0.1))),((Assumptions!$C$15*(1+0.1))*(Assumptions!$C$38+0.1)))),(-FV(Assumptions!$C$40/12,MAX(0,Assumptions!$H$15-Assumptions!$C$41)*12,PMT(Assumptions!$C$40/12,Assumptions!$C$42*12,((Assumptions!$C$15*(1+0.1))*(Assumptions!$C$38+0.1))),((Assumptions!$C$15*(1+0.1)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J84" s="98" t="n">
        <f aca="false">IF(7&gt;Assumptions!$H$15,0,IF('Pro Forma'!J$26="",0,'Pro Forma'!J$26-(IF(Assumptions!$C$37=1,(((Assumptions!$C$15*(1+0.1))*(Assumptions!$C$38+0.1))*Assumptions!$C$40),IF(Assumptions!$C$37=2,(-PMT(Assumptions!$C$40/12,Assumptions!$C$42*12,((Assumptions!$C$15*(1+0.1))*(Assumptions!$C$38+0.1)))*12),IF(7&lt;=Assumptions!$C$41,(((Assumptions!$C$15*(1+0.1))*(Assumptions!$C$38+0.1))*Assumptions!$C$40),(-PMT(Assumptions!$C$40/12,Assumptions!$C$42*12,((Assumptions!$C$15*(1+0.1))*(Assumptions!$C$38+0.1)))*12)))))-Assumptions!$C$58-IF(Assumptions!$C$28=1,IF(7=1,Assumptions!$C$26,0),Assumptions!$C$26/Assumptions!$H$15)-Assumptions!$C$33)+IF(7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+0.1)),IF(Assumptions!$C$37=2,(-FV(Assumptions!$C$40/12,Assumptions!$H$15*12,PMT(Assumptions!$C$40/12,Assumptions!$C$42*12,((Assumptions!$C$15*(1+0.1))*(Assumptions!$C$38+0.1))),((Assumptions!$C$15*(1+0.1))*(Assumptions!$C$38+0.1)))),(-FV(Assumptions!$C$40/12,MAX(0,Assumptions!$H$15-Assumptions!$C$41)*12,PMT(Assumptions!$C$40/12,Assumptions!$C$42*12,((Assumptions!$C$15*(1+0.1))*(Assumptions!$C$38+0.1))),((Assumptions!$C$15*(1+0.1)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K84" s="98" t="n">
        <f aca="false">IF(8&gt;Assumptions!$H$15,0,IF('Pro Forma'!K$26="",0,'Pro Forma'!K$26-(IF(Assumptions!$C$37=1,(((Assumptions!$C$15*(1+0.1))*(Assumptions!$C$38+0.1))*Assumptions!$C$40),IF(Assumptions!$C$37=2,(-PMT(Assumptions!$C$40/12,Assumptions!$C$42*12,((Assumptions!$C$15*(1+0.1))*(Assumptions!$C$38+0.1)))*12),IF(8&lt;=Assumptions!$C$41,(((Assumptions!$C$15*(1+0.1))*(Assumptions!$C$38+0.1))*Assumptions!$C$40),(-PMT(Assumptions!$C$40/12,Assumptions!$C$42*12,((Assumptions!$C$15*(1+0.1))*(Assumptions!$C$38+0.1)))*12)))))-Assumptions!$C$58-IF(Assumptions!$C$28=1,IF(8=1,Assumptions!$C$26,0),Assumptions!$C$26/Assumptions!$H$15)-Assumptions!$C$33)+IF(8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+0.1)),IF(Assumptions!$C$37=2,(-FV(Assumptions!$C$40/12,Assumptions!$H$15*12,PMT(Assumptions!$C$40/12,Assumptions!$C$42*12,((Assumptions!$C$15*(1+0.1))*(Assumptions!$C$38+0.1))),((Assumptions!$C$15*(1+0.1))*(Assumptions!$C$38+0.1)))),(-FV(Assumptions!$C$40/12,MAX(0,Assumptions!$H$15-Assumptions!$C$41)*12,PMT(Assumptions!$C$40/12,Assumptions!$C$42*12,((Assumptions!$C$15*(1+0.1))*(Assumptions!$C$38+0.1))),((Assumptions!$C$15*(1+0.1)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L84" s="98" t="n">
        <f aca="false">IF(9&gt;Assumptions!$H$15,0,IF('Pro Forma'!L$26="",0,'Pro Forma'!L$26-(IF(Assumptions!$C$37=1,(((Assumptions!$C$15*(1+0.1))*(Assumptions!$C$38+0.1))*Assumptions!$C$40),IF(Assumptions!$C$37=2,(-PMT(Assumptions!$C$40/12,Assumptions!$C$42*12,((Assumptions!$C$15*(1+0.1))*(Assumptions!$C$38+0.1)))*12),IF(9&lt;=Assumptions!$C$41,(((Assumptions!$C$15*(1+0.1))*(Assumptions!$C$38+0.1))*Assumptions!$C$40),(-PMT(Assumptions!$C$40/12,Assumptions!$C$42*12,((Assumptions!$C$15*(1+0.1))*(Assumptions!$C$38+0.1)))*12)))))-Assumptions!$C$58-IF(Assumptions!$C$28=1,IF(9=1,Assumptions!$C$26,0),Assumptions!$C$26/Assumptions!$H$15)-Assumptions!$C$33)+IF(9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+0.1)),IF(Assumptions!$C$37=2,(-FV(Assumptions!$C$40/12,Assumptions!$H$15*12,PMT(Assumptions!$C$40/12,Assumptions!$C$42*12,((Assumptions!$C$15*(1+0.1))*(Assumptions!$C$38+0.1))),((Assumptions!$C$15*(1+0.1))*(Assumptions!$C$38+0.1)))),(-FV(Assumptions!$C$40/12,MAX(0,Assumptions!$H$15-Assumptions!$C$41)*12,PMT(Assumptions!$C$40/12,Assumptions!$C$42*12,((Assumptions!$C$15*(1+0.1))*(Assumptions!$C$38+0.1))),((Assumptions!$C$15*(1+0.1)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M84" s="98" t="n">
        <f aca="false">IF(10&gt;Assumptions!$H$15,0,IF('Pro Forma'!M$26="",0,'Pro Forma'!M$26-(IF(Assumptions!$C$37=1,(((Assumptions!$C$15*(1+0.1))*(Assumptions!$C$38+0.1))*Assumptions!$C$40),IF(Assumptions!$C$37=2,(-PMT(Assumptions!$C$40/12,Assumptions!$C$42*12,((Assumptions!$C$15*(1+0.1))*(Assumptions!$C$38+0.1)))*12),IF(10&lt;=Assumptions!$C$41,(((Assumptions!$C$15*(1+0.1))*(Assumptions!$C$38+0.1))*Assumptions!$C$40),(-PMT(Assumptions!$C$40/12,Assumptions!$C$42*12,((Assumptions!$C$15*(1+0.1))*(Assumptions!$C$38+0.1)))*12)))))-Assumptions!$C$58-IF(Assumptions!$C$28=1,IF(10=1,Assumptions!$C$26,0),Assumptions!$C$26/Assumptions!$H$15)-Assumptions!$C$33)+IF(10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+0.1)),IF(Assumptions!$C$37=2,(-FV(Assumptions!$C$40/12,Assumptions!$H$15*12,PMT(Assumptions!$C$40/12,Assumptions!$C$42*12,((Assumptions!$C$15*(1+0.1))*(Assumptions!$C$38+0.1))),((Assumptions!$C$15*(1+0.1))*(Assumptions!$C$38+0.1)))),(-FV(Assumptions!$C$40/12,MAX(0,Assumptions!$H$15-Assumptions!$C$41)*12,PMT(Assumptions!$C$40/12,Assumptions!$C$42*12,((Assumptions!$C$15*(1+0.1))*(Assumptions!$C$38+0.1))),((Assumptions!$C$15*(1+0.1))*(Assumptions!$C$38+0.1)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N84" s="99" t="n">
        <f aca="false">IFERROR(IRR(C84:M84),0)</f>
        <v>0</v>
      </c>
    </row>
    <row r="85" customFormat="false" ht="15" hidden="false" customHeight="false" outlineLevel="0" collapsed="false">
      <c r="C85" s="0" t="n">
        <f aca="false">-(((Assumptions!$C$15*(1-0.1))*(1+Assumptions!$C$18))-((Assumptions!$C$15*(1-0.1))*(Assumptions!$C$38-0.15)))</f>
        <v>-0</v>
      </c>
      <c r="D85" s="0" t="n">
        <f aca="false">IF(1&gt;Assumptions!$H$15,0,IF('Pro Forma'!D$26="",0,'Pro Forma'!D$26-(IF(Assumptions!$C$37=1,(((Assumptions!$C$15*(1-0.1))*(Assumptions!$C$38-0.15))*Assumptions!$C$40),IF(Assumptions!$C$37=2,(-PMT(Assumptions!$C$40/12,Assumptions!$C$42*12,((Assumptions!$C$15*(1-0.1))*(Assumptions!$C$38-0.15)))*12),IF(1&lt;=Assumptions!$C$41,(((Assumptions!$C$15*(1-0.1))*(Assumptions!$C$38-0.15))*Assumptions!$C$40),(-PMT(Assumptions!$C$40/12,Assumptions!$C$42*12,((Assumptions!$C$15*(1-0.1))*(Assumptions!$C$38-0.15)))*12)))))-Assumptions!$C$58-IF(Assumptions!$C$28=1,IF(1=1,Assumptions!$C$26,0),Assumptions!$C$26/Assumptions!$H$15)-Assumptions!$C$33)+IF(1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$38-0.15)),IF(Assumptions!$C$37=2,(-FV(Assumptions!$C$40/12,Assumptions!$H$15*12,PMT(Assumptions!$C$40/12,Assumptions!$C$42*12,((Assumptions!$C$15*(1-0.1))*(Assumptions!$C$38-0.15))),((Assumptions!$C$15*(1-0.1))*(Assumptions!$C$38-0.15)))),(-FV(Assumptions!$C$40/12,MAX(0,Assumptions!$H$15-Assumptions!$C$41)*12,PMT(Assumptions!$C$40/12,Assumptions!$C$42*12,((Assumptions!$C$15*(1-0.1))*(Assumptions!$C$38-0.15))),((Assumptions!$C$15*(1-0.1)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E85" s="0" t="n">
        <f aca="false">IF(2&gt;Assumptions!$H$15,0,IF('Pro Forma'!E$26="",0,'Pro Forma'!E$26-(IF(Assumptions!$C$37=1,(((Assumptions!$C$15*(1-0.1))*(Assumptions!$C$38-0.15))*Assumptions!$C$40),IF(Assumptions!$C$37=2,(-PMT(Assumptions!$C$40/12,Assumptions!$C$42*12,((Assumptions!$C$15*(1-0.1))*(Assumptions!$C$38-0.15)))*12),IF(2&lt;=Assumptions!$C$41,(((Assumptions!$C$15*(1-0.1))*(Assumptions!$C$38-0.15))*Assumptions!$C$40),(-PMT(Assumptions!$C$40/12,Assumptions!$C$42*12,((Assumptions!$C$15*(1-0.1))*(Assumptions!$C$38-0.15)))*12)))))-Assumptions!$C$58-IF(Assumptions!$C$28=1,IF(2=1,Assumptions!$C$26,0),Assumptions!$C$26/Assumptions!$H$15)-Assumptions!$C$33)+IF(2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$38-0.15)),IF(Assumptions!$C$37=2,(-FV(Assumptions!$C$40/12,Assumptions!$H$15*12,PMT(Assumptions!$C$40/12,Assumptions!$C$42*12,((Assumptions!$C$15*(1-0.1))*(Assumptions!$C$38-0.15))),((Assumptions!$C$15*(1-0.1))*(Assumptions!$C$38-0.15)))),(-FV(Assumptions!$C$40/12,MAX(0,Assumptions!$H$15-Assumptions!$C$41)*12,PMT(Assumptions!$C$40/12,Assumptions!$C$42*12,((Assumptions!$C$15*(1-0.1))*(Assumptions!$C$38-0.15))),((Assumptions!$C$15*(1-0.1)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F85" s="0" t="n">
        <f aca="false">IF(3&gt;Assumptions!$H$15,0,IF('Pro Forma'!F$26="",0,'Pro Forma'!F$26-(IF(Assumptions!$C$37=1,(((Assumptions!$C$15*(1-0.1))*(Assumptions!$C$38-0.15))*Assumptions!$C$40),IF(Assumptions!$C$37=2,(-PMT(Assumptions!$C$40/12,Assumptions!$C$42*12,((Assumptions!$C$15*(1-0.1))*(Assumptions!$C$38-0.15)))*12),IF(3&lt;=Assumptions!$C$41,(((Assumptions!$C$15*(1-0.1))*(Assumptions!$C$38-0.15))*Assumptions!$C$40),(-PMT(Assumptions!$C$40/12,Assumptions!$C$42*12,((Assumptions!$C$15*(1-0.1))*(Assumptions!$C$38-0.15)))*12)))))-Assumptions!$C$58-IF(Assumptions!$C$28=1,IF(3=1,Assumptions!$C$26,0),Assumptions!$C$26/Assumptions!$H$15)-Assumptions!$C$33)+IF(3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$38-0.15)),IF(Assumptions!$C$37=2,(-FV(Assumptions!$C$40/12,Assumptions!$H$15*12,PMT(Assumptions!$C$40/12,Assumptions!$C$42*12,((Assumptions!$C$15*(1-0.1))*(Assumptions!$C$38-0.15))),((Assumptions!$C$15*(1-0.1))*(Assumptions!$C$38-0.15)))),(-FV(Assumptions!$C$40/12,MAX(0,Assumptions!$H$15-Assumptions!$C$41)*12,PMT(Assumptions!$C$40/12,Assumptions!$C$42*12,((Assumptions!$C$15*(1-0.1))*(Assumptions!$C$38-0.15))),((Assumptions!$C$15*(1-0.1)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G85" s="0" t="n">
        <f aca="false">IF(4&gt;Assumptions!$H$15,0,IF('Pro Forma'!G$26="",0,'Pro Forma'!G$26-(IF(Assumptions!$C$37=1,(((Assumptions!$C$15*(1-0.1))*(Assumptions!$C$38-0.15))*Assumptions!$C$40),IF(Assumptions!$C$37=2,(-PMT(Assumptions!$C$40/12,Assumptions!$C$42*12,((Assumptions!$C$15*(1-0.1))*(Assumptions!$C$38-0.15)))*12),IF(4&lt;=Assumptions!$C$41,(((Assumptions!$C$15*(1-0.1))*(Assumptions!$C$38-0.15))*Assumptions!$C$40),(-PMT(Assumptions!$C$40/12,Assumptions!$C$42*12,((Assumptions!$C$15*(1-0.1))*(Assumptions!$C$38-0.15)))*12)))))-Assumptions!$C$58-IF(Assumptions!$C$28=1,IF(4=1,Assumptions!$C$26,0),Assumptions!$C$26/Assumptions!$H$15)-Assumptions!$C$33)+IF(4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$38-0.15)),IF(Assumptions!$C$37=2,(-FV(Assumptions!$C$40/12,Assumptions!$H$15*12,PMT(Assumptions!$C$40/12,Assumptions!$C$42*12,((Assumptions!$C$15*(1-0.1))*(Assumptions!$C$38-0.15))),((Assumptions!$C$15*(1-0.1))*(Assumptions!$C$38-0.15)))),(-FV(Assumptions!$C$40/12,MAX(0,Assumptions!$H$15-Assumptions!$C$41)*12,PMT(Assumptions!$C$40/12,Assumptions!$C$42*12,((Assumptions!$C$15*(1-0.1))*(Assumptions!$C$38-0.15))),((Assumptions!$C$15*(1-0.1)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H85" s="0" t="n">
        <f aca="false">IF(5&gt;Assumptions!$H$15,0,IF('Pro Forma'!H$26="",0,'Pro Forma'!H$26-(IF(Assumptions!$C$37=1,(((Assumptions!$C$15*(1-0.1))*(Assumptions!$C$38-0.15))*Assumptions!$C$40),IF(Assumptions!$C$37=2,(-PMT(Assumptions!$C$40/12,Assumptions!$C$42*12,((Assumptions!$C$15*(1-0.1))*(Assumptions!$C$38-0.15)))*12),IF(5&lt;=Assumptions!$C$41,(((Assumptions!$C$15*(1-0.1))*(Assumptions!$C$38-0.15))*Assumptions!$C$40),(-PMT(Assumptions!$C$40/12,Assumptions!$C$42*12,((Assumptions!$C$15*(1-0.1))*(Assumptions!$C$38-0.15)))*12)))))-Assumptions!$C$58-IF(Assumptions!$C$28=1,IF(5=1,Assumptions!$C$26,0),Assumptions!$C$26/Assumptions!$H$15)-Assumptions!$C$33)+IF(5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$38-0.15)),IF(Assumptions!$C$37=2,(-FV(Assumptions!$C$40/12,Assumptions!$H$15*12,PMT(Assumptions!$C$40/12,Assumptions!$C$42*12,((Assumptions!$C$15*(1-0.1))*(Assumptions!$C$38-0.15))),((Assumptions!$C$15*(1-0.1))*(Assumptions!$C$38-0.15)))),(-FV(Assumptions!$C$40/12,MAX(0,Assumptions!$H$15-Assumptions!$C$41)*12,PMT(Assumptions!$C$40/12,Assumptions!$C$42*12,((Assumptions!$C$15*(1-0.1))*(Assumptions!$C$38-0.15))),((Assumptions!$C$15*(1-0.1)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I85" s="0" t="n">
        <f aca="false">IF(6&gt;Assumptions!$H$15,0,IF('Pro Forma'!I$26="",0,'Pro Forma'!I$26-(IF(Assumptions!$C$37=1,(((Assumptions!$C$15*(1-0.1))*(Assumptions!$C$38-0.15))*Assumptions!$C$40),IF(Assumptions!$C$37=2,(-PMT(Assumptions!$C$40/12,Assumptions!$C$42*12,((Assumptions!$C$15*(1-0.1))*(Assumptions!$C$38-0.15)))*12),IF(6&lt;=Assumptions!$C$41,(((Assumptions!$C$15*(1-0.1))*(Assumptions!$C$38-0.15))*Assumptions!$C$40),(-PMT(Assumptions!$C$40/12,Assumptions!$C$42*12,((Assumptions!$C$15*(1-0.1))*(Assumptions!$C$38-0.15)))*12)))))-Assumptions!$C$58-IF(Assumptions!$C$28=1,IF(6=1,Assumptions!$C$26,0),Assumptions!$C$26/Assumptions!$H$15)-Assumptions!$C$33)+IF(6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$38-0.15)),IF(Assumptions!$C$37=2,(-FV(Assumptions!$C$40/12,Assumptions!$H$15*12,PMT(Assumptions!$C$40/12,Assumptions!$C$42*12,((Assumptions!$C$15*(1-0.1))*(Assumptions!$C$38-0.15))),((Assumptions!$C$15*(1-0.1))*(Assumptions!$C$38-0.15)))),(-FV(Assumptions!$C$40/12,MAX(0,Assumptions!$H$15-Assumptions!$C$41)*12,PMT(Assumptions!$C$40/12,Assumptions!$C$42*12,((Assumptions!$C$15*(1-0.1))*(Assumptions!$C$38-0.15))),((Assumptions!$C$15*(1-0.1)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J85" s="0" t="n">
        <f aca="false">IF(7&gt;Assumptions!$H$15,0,IF('Pro Forma'!J$26="",0,'Pro Forma'!J$26-(IF(Assumptions!$C$37=1,(((Assumptions!$C$15*(1-0.1))*(Assumptions!$C$38-0.15))*Assumptions!$C$40),IF(Assumptions!$C$37=2,(-PMT(Assumptions!$C$40/12,Assumptions!$C$42*12,((Assumptions!$C$15*(1-0.1))*(Assumptions!$C$38-0.15)))*12),IF(7&lt;=Assumptions!$C$41,(((Assumptions!$C$15*(1-0.1))*(Assumptions!$C$38-0.15))*Assumptions!$C$40),(-PMT(Assumptions!$C$40/12,Assumptions!$C$42*12,((Assumptions!$C$15*(1-0.1))*(Assumptions!$C$38-0.15)))*12)))))-Assumptions!$C$58-IF(Assumptions!$C$28=1,IF(7=1,Assumptions!$C$26,0),Assumptions!$C$26/Assumptions!$H$15)-Assumptions!$C$33)+IF(7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$38-0.15)),IF(Assumptions!$C$37=2,(-FV(Assumptions!$C$40/12,Assumptions!$H$15*12,PMT(Assumptions!$C$40/12,Assumptions!$C$42*12,((Assumptions!$C$15*(1-0.1))*(Assumptions!$C$38-0.15))),((Assumptions!$C$15*(1-0.1))*(Assumptions!$C$38-0.15)))),(-FV(Assumptions!$C$40/12,MAX(0,Assumptions!$H$15-Assumptions!$C$41)*12,PMT(Assumptions!$C$40/12,Assumptions!$C$42*12,((Assumptions!$C$15*(1-0.1))*(Assumptions!$C$38-0.15))),((Assumptions!$C$15*(1-0.1)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K85" s="0" t="n">
        <f aca="false">IF(8&gt;Assumptions!$H$15,0,IF('Pro Forma'!K$26="",0,'Pro Forma'!K$26-(IF(Assumptions!$C$37=1,(((Assumptions!$C$15*(1-0.1))*(Assumptions!$C$38-0.15))*Assumptions!$C$40),IF(Assumptions!$C$37=2,(-PMT(Assumptions!$C$40/12,Assumptions!$C$42*12,((Assumptions!$C$15*(1-0.1))*(Assumptions!$C$38-0.15)))*12),IF(8&lt;=Assumptions!$C$41,(((Assumptions!$C$15*(1-0.1))*(Assumptions!$C$38-0.15))*Assumptions!$C$40),(-PMT(Assumptions!$C$40/12,Assumptions!$C$42*12,((Assumptions!$C$15*(1-0.1))*(Assumptions!$C$38-0.15)))*12)))))-Assumptions!$C$58-IF(Assumptions!$C$28=1,IF(8=1,Assumptions!$C$26,0),Assumptions!$C$26/Assumptions!$H$15)-Assumptions!$C$33)+IF(8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$38-0.15)),IF(Assumptions!$C$37=2,(-FV(Assumptions!$C$40/12,Assumptions!$H$15*12,PMT(Assumptions!$C$40/12,Assumptions!$C$42*12,((Assumptions!$C$15*(1-0.1))*(Assumptions!$C$38-0.15))),((Assumptions!$C$15*(1-0.1))*(Assumptions!$C$38-0.15)))),(-FV(Assumptions!$C$40/12,MAX(0,Assumptions!$H$15-Assumptions!$C$41)*12,PMT(Assumptions!$C$40/12,Assumptions!$C$42*12,((Assumptions!$C$15*(1-0.1))*(Assumptions!$C$38-0.15))),((Assumptions!$C$15*(1-0.1)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L85" s="0" t="n">
        <f aca="false">IF(9&gt;Assumptions!$H$15,0,IF('Pro Forma'!L$26="",0,'Pro Forma'!L$26-(IF(Assumptions!$C$37=1,(((Assumptions!$C$15*(1-0.1))*(Assumptions!$C$38-0.15))*Assumptions!$C$40),IF(Assumptions!$C$37=2,(-PMT(Assumptions!$C$40/12,Assumptions!$C$42*12,((Assumptions!$C$15*(1-0.1))*(Assumptions!$C$38-0.15)))*12),IF(9&lt;=Assumptions!$C$41,(((Assumptions!$C$15*(1-0.1))*(Assumptions!$C$38-0.15))*Assumptions!$C$40),(-PMT(Assumptions!$C$40/12,Assumptions!$C$42*12,((Assumptions!$C$15*(1-0.1))*(Assumptions!$C$38-0.15)))*12)))))-Assumptions!$C$58-IF(Assumptions!$C$28=1,IF(9=1,Assumptions!$C$26,0),Assumptions!$C$26/Assumptions!$H$15)-Assumptions!$C$33)+IF(9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$38-0.15)),IF(Assumptions!$C$37=2,(-FV(Assumptions!$C$40/12,Assumptions!$H$15*12,PMT(Assumptions!$C$40/12,Assumptions!$C$42*12,((Assumptions!$C$15*(1-0.1))*(Assumptions!$C$38-0.15))),((Assumptions!$C$15*(1-0.1))*(Assumptions!$C$38-0.15)))),(-FV(Assumptions!$C$40/12,MAX(0,Assumptions!$H$15-Assumptions!$C$41)*12,PMT(Assumptions!$C$40/12,Assumptions!$C$42*12,((Assumptions!$C$15*(1-0.1))*(Assumptions!$C$38-0.15))),((Assumptions!$C$15*(1-0.1)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M85" s="0" t="n">
        <f aca="false">IF(10&gt;Assumptions!$H$15,0,IF('Pro Forma'!M$26="",0,'Pro Forma'!M$26-(IF(Assumptions!$C$37=1,(((Assumptions!$C$15*(1-0.1))*(Assumptions!$C$38-0.15))*Assumptions!$C$40),IF(Assumptions!$C$37=2,(-PMT(Assumptions!$C$40/12,Assumptions!$C$42*12,((Assumptions!$C$15*(1-0.1))*(Assumptions!$C$38-0.15)))*12),IF(10&lt;=Assumptions!$C$41,(((Assumptions!$C$15*(1-0.1))*(Assumptions!$C$38-0.15))*Assumptions!$C$40),(-PMT(Assumptions!$C$40/12,Assumptions!$C$42*12,((Assumptions!$C$15*(1-0.1))*(Assumptions!$C$38-0.15)))*12)))))-Assumptions!$C$58-IF(Assumptions!$C$28=1,IF(10=1,Assumptions!$C$26,0),Assumptions!$C$26/Assumptions!$H$15)-Assumptions!$C$33)+IF(10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-0.1))*(Assumptions!$C$38-0.15)),IF(Assumptions!$C$37=2,(-FV(Assumptions!$C$40/12,Assumptions!$H$15*12,PMT(Assumptions!$C$40/12,Assumptions!$C$42*12,((Assumptions!$C$15*(1-0.1))*(Assumptions!$C$38-0.15))),((Assumptions!$C$15*(1-0.1))*(Assumptions!$C$38-0.15)))),(-FV(Assumptions!$C$40/12,MAX(0,Assumptions!$H$15-Assumptions!$C$41)*12,PMT(Assumptions!$C$40/12,Assumptions!$C$42*12,((Assumptions!$C$15*(1-0.1))*(Assumptions!$C$38-0.15))),((Assumptions!$C$15*(1-0.1)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N85" s="0" t="n">
        <f aca="false">IFERROR(IRR(C85:M85),0)</f>
        <v>0</v>
      </c>
    </row>
    <row r="86" customFormat="false" ht="15" hidden="false" customHeight="false" outlineLevel="0" collapsed="false">
      <c r="C86" s="0" t="n">
        <f aca="false">-(((Assumptions!$C$15*(1-0.1))*(1+Assumptions!$C$18))-((Assumptions!$C$15*(1-0.1))*(Assumptions!$C$38-0.15)))</f>
        <v>-0</v>
      </c>
      <c r="D86" s="0" t="n">
        <f aca="false">IF(1&gt;Assumptions!$H$15,0,IF('Pro Forma'!D$26="",0,'Pro Forma'!D$26-(IF(Assumptions!$C$37=1,(((Assumptions!$C$15*(1-0.05))*(Assumptions!$C$38-0.15))*Assumptions!$C$40),IF(Assumptions!$C$37=2,(-PMT(Assumptions!$C$40/12,Assumptions!$C$42*12,((Assumptions!$C$15*(1-0.05))*(Assumptions!$C$38-0.15)))*12),IF(1&lt;=Assumptions!$C$41,(((Assumptions!$C$15*(1-0.05))*(Assumptions!$C$38-0.15))*Assumptions!$C$40),(-PMT(Assumptions!$C$40/12,Assumptions!$C$42*12,((Assumptions!$C$15*(1-0.05))*(Assumptions!$C$38-0.15)))*12)))))-Assumptions!$C$58-IF(Assumptions!$C$28=1,IF(1=1,Assumptions!$C$26,0),Assumptions!$C$26/Assumptions!$H$15)-Assumptions!$C$33)+IF(1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$38-0.15)),IF(Assumptions!$C$37=2,(-FV(Assumptions!$C$40/12,Assumptions!$H$15*12,PMT(Assumptions!$C$40/12,Assumptions!$C$42*12,((Assumptions!$C$15*(1-0.05))*(Assumptions!$C$38-0.15))),((Assumptions!$C$15*(1-0.05))*(Assumptions!$C$38-0.15)))),(-FV(Assumptions!$C$40/12,MAX(0,Assumptions!$H$15-Assumptions!$C$41)*12,PMT(Assumptions!$C$40/12,Assumptions!$C$42*12,((Assumptions!$C$15*(1-0.05))*(Assumptions!$C$38-0.15))),((Assumptions!$C$15*(1-0.05)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E86" s="0" t="n">
        <f aca="false">IF(2&gt;Assumptions!$H$15,0,IF('Pro Forma'!E$26="",0,'Pro Forma'!E$26-(IF(Assumptions!$C$37=1,(((Assumptions!$C$15*(1-0.05))*(Assumptions!$C$38-0.15))*Assumptions!$C$40),IF(Assumptions!$C$37=2,(-PMT(Assumptions!$C$40/12,Assumptions!$C$42*12,((Assumptions!$C$15*(1-0.05))*(Assumptions!$C$38-0.15)))*12),IF(2&lt;=Assumptions!$C$41,(((Assumptions!$C$15*(1-0.05))*(Assumptions!$C$38-0.15))*Assumptions!$C$40),(-PMT(Assumptions!$C$40/12,Assumptions!$C$42*12,((Assumptions!$C$15*(1-0.05))*(Assumptions!$C$38-0.15)))*12)))))-Assumptions!$C$58-IF(Assumptions!$C$28=1,IF(2=1,Assumptions!$C$26,0),Assumptions!$C$26/Assumptions!$H$15)-Assumptions!$C$33)+IF(2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$38-0.15)),IF(Assumptions!$C$37=2,(-FV(Assumptions!$C$40/12,Assumptions!$H$15*12,PMT(Assumptions!$C$40/12,Assumptions!$C$42*12,((Assumptions!$C$15*(1-0.05))*(Assumptions!$C$38-0.15))),((Assumptions!$C$15*(1-0.05))*(Assumptions!$C$38-0.15)))),(-FV(Assumptions!$C$40/12,MAX(0,Assumptions!$H$15-Assumptions!$C$41)*12,PMT(Assumptions!$C$40/12,Assumptions!$C$42*12,((Assumptions!$C$15*(1-0.05))*(Assumptions!$C$38-0.15))),((Assumptions!$C$15*(1-0.05)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F86" s="0" t="n">
        <f aca="false">IF(3&gt;Assumptions!$H$15,0,IF('Pro Forma'!F$26="",0,'Pro Forma'!F$26-(IF(Assumptions!$C$37=1,(((Assumptions!$C$15*(1-0.05))*(Assumptions!$C$38-0.15))*Assumptions!$C$40),IF(Assumptions!$C$37=2,(-PMT(Assumptions!$C$40/12,Assumptions!$C$42*12,((Assumptions!$C$15*(1-0.05))*(Assumptions!$C$38-0.15)))*12),IF(3&lt;=Assumptions!$C$41,(((Assumptions!$C$15*(1-0.05))*(Assumptions!$C$38-0.15))*Assumptions!$C$40),(-PMT(Assumptions!$C$40/12,Assumptions!$C$42*12,((Assumptions!$C$15*(1-0.05))*(Assumptions!$C$38-0.15)))*12)))))-Assumptions!$C$58-IF(Assumptions!$C$28=1,IF(3=1,Assumptions!$C$26,0),Assumptions!$C$26/Assumptions!$H$15)-Assumptions!$C$33)+IF(3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$38-0.15)),IF(Assumptions!$C$37=2,(-FV(Assumptions!$C$40/12,Assumptions!$H$15*12,PMT(Assumptions!$C$40/12,Assumptions!$C$42*12,((Assumptions!$C$15*(1-0.05))*(Assumptions!$C$38-0.15))),((Assumptions!$C$15*(1-0.05))*(Assumptions!$C$38-0.15)))),(-FV(Assumptions!$C$40/12,MAX(0,Assumptions!$H$15-Assumptions!$C$41)*12,PMT(Assumptions!$C$40/12,Assumptions!$C$42*12,((Assumptions!$C$15*(1-0.05))*(Assumptions!$C$38-0.15))),((Assumptions!$C$15*(1-0.05)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G86" s="0" t="n">
        <f aca="false">IF(4&gt;Assumptions!$H$15,0,IF('Pro Forma'!G$26="",0,'Pro Forma'!G$26-(IF(Assumptions!$C$37=1,(((Assumptions!$C$15*(1-0.05))*(Assumptions!$C$38-0.15))*Assumptions!$C$40),IF(Assumptions!$C$37=2,(-PMT(Assumptions!$C$40/12,Assumptions!$C$42*12,((Assumptions!$C$15*(1-0.05))*(Assumptions!$C$38-0.15)))*12),IF(4&lt;=Assumptions!$C$41,(((Assumptions!$C$15*(1-0.05))*(Assumptions!$C$38-0.15))*Assumptions!$C$40),(-PMT(Assumptions!$C$40/12,Assumptions!$C$42*12,((Assumptions!$C$15*(1-0.05))*(Assumptions!$C$38-0.15)))*12)))))-Assumptions!$C$58-IF(Assumptions!$C$28=1,IF(4=1,Assumptions!$C$26,0),Assumptions!$C$26/Assumptions!$H$15)-Assumptions!$C$33)+IF(4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$38-0.15)),IF(Assumptions!$C$37=2,(-FV(Assumptions!$C$40/12,Assumptions!$H$15*12,PMT(Assumptions!$C$40/12,Assumptions!$C$42*12,((Assumptions!$C$15*(1-0.05))*(Assumptions!$C$38-0.15))),((Assumptions!$C$15*(1-0.05))*(Assumptions!$C$38-0.15)))),(-FV(Assumptions!$C$40/12,MAX(0,Assumptions!$H$15-Assumptions!$C$41)*12,PMT(Assumptions!$C$40/12,Assumptions!$C$42*12,((Assumptions!$C$15*(1-0.05))*(Assumptions!$C$38-0.15))),((Assumptions!$C$15*(1-0.05)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H86" s="0" t="n">
        <f aca="false">IF(5&gt;Assumptions!$H$15,0,IF('Pro Forma'!H$26="",0,'Pro Forma'!H$26-(IF(Assumptions!$C$37=1,(((Assumptions!$C$15*(1-0.05))*(Assumptions!$C$38-0.15))*Assumptions!$C$40),IF(Assumptions!$C$37=2,(-PMT(Assumptions!$C$40/12,Assumptions!$C$42*12,((Assumptions!$C$15*(1-0.05))*(Assumptions!$C$38-0.15)))*12),IF(5&lt;=Assumptions!$C$41,(((Assumptions!$C$15*(1-0.05))*(Assumptions!$C$38-0.15))*Assumptions!$C$40),(-PMT(Assumptions!$C$40/12,Assumptions!$C$42*12,((Assumptions!$C$15*(1-0.05))*(Assumptions!$C$38-0.15)))*12)))))-Assumptions!$C$58-IF(Assumptions!$C$28=1,IF(5=1,Assumptions!$C$26,0),Assumptions!$C$26/Assumptions!$H$15)-Assumptions!$C$33)+IF(5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$38-0.15)),IF(Assumptions!$C$37=2,(-FV(Assumptions!$C$40/12,Assumptions!$H$15*12,PMT(Assumptions!$C$40/12,Assumptions!$C$42*12,((Assumptions!$C$15*(1-0.05))*(Assumptions!$C$38-0.15))),((Assumptions!$C$15*(1-0.05))*(Assumptions!$C$38-0.15)))),(-FV(Assumptions!$C$40/12,MAX(0,Assumptions!$H$15-Assumptions!$C$41)*12,PMT(Assumptions!$C$40/12,Assumptions!$C$42*12,((Assumptions!$C$15*(1-0.05))*(Assumptions!$C$38-0.15))),((Assumptions!$C$15*(1-0.05)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I86" s="0" t="n">
        <f aca="false">IF(6&gt;Assumptions!$H$15,0,IF('Pro Forma'!I$26="",0,'Pro Forma'!I$26-(IF(Assumptions!$C$37=1,(((Assumptions!$C$15*(1-0.05))*(Assumptions!$C$38-0.15))*Assumptions!$C$40),IF(Assumptions!$C$37=2,(-PMT(Assumptions!$C$40/12,Assumptions!$C$42*12,((Assumptions!$C$15*(1-0.05))*(Assumptions!$C$38-0.15)))*12),IF(6&lt;=Assumptions!$C$41,(((Assumptions!$C$15*(1-0.05))*(Assumptions!$C$38-0.15))*Assumptions!$C$40),(-PMT(Assumptions!$C$40/12,Assumptions!$C$42*12,((Assumptions!$C$15*(1-0.05))*(Assumptions!$C$38-0.15)))*12)))))-Assumptions!$C$58-IF(Assumptions!$C$28=1,IF(6=1,Assumptions!$C$26,0),Assumptions!$C$26/Assumptions!$H$15)-Assumptions!$C$33)+IF(6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$38-0.15)),IF(Assumptions!$C$37=2,(-FV(Assumptions!$C$40/12,Assumptions!$H$15*12,PMT(Assumptions!$C$40/12,Assumptions!$C$42*12,((Assumptions!$C$15*(1-0.05))*(Assumptions!$C$38-0.15))),((Assumptions!$C$15*(1-0.05))*(Assumptions!$C$38-0.15)))),(-FV(Assumptions!$C$40/12,MAX(0,Assumptions!$H$15-Assumptions!$C$41)*12,PMT(Assumptions!$C$40/12,Assumptions!$C$42*12,((Assumptions!$C$15*(1-0.05))*(Assumptions!$C$38-0.15))),((Assumptions!$C$15*(1-0.05)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J86" s="0" t="n">
        <f aca="false">IF(7&gt;Assumptions!$H$15,0,IF('Pro Forma'!J$26="",0,'Pro Forma'!J$26-(IF(Assumptions!$C$37=1,(((Assumptions!$C$15*(1-0.05))*(Assumptions!$C$38-0.15))*Assumptions!$C$40),IF(Assumptions!$C$37=2,(-PMT(Assumptions!$C$40/12,Assumptions!$C$42*12,((Assumptions!$C$15*(1-0.05))*(Assumptions!$C$38-0.15)))*12),IF(7&lt;=Assumptions!$C$41,(((Assumptions!$C$15*(1-0.05))*(Assumptions!$C$38-0.15))*Assumptions!$C$40),(-PMT(Assumptions!$C$40/12,Assumptions!$C$42*12,((Assumptions!$C$15*(1-0.05))*(Assumptions!$C$38-0.15)))*12)))))-Assumptions!$C$58-IF(Assumptions!$C$28=1,IF(7=1,Assumptions!$C$26,0),Assumptions!$C$26/Assumptions!$H$15)-Assumptions!$C$33)+IF(7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$38-0.15)),IF(Assumptions!$C$37=2,(-FV(Assumptions!$C$40/12,Assumptions!$H$15*12,PMT(Assumptions!$C$40/12,Assumptions!$C$42*12,((Assumptions!$C$15*(1-0.05))*(Assumptions!$C$38-0.15))),((Assumptions!$C$15*(1-0.05))*(Assumptions!$C$38-0.15)))),(-FV(Assumptions!$C$40/12,MAX(0,Assumptions!$H$15-Assumptions!$C$41)*12,PMT(Assumptions!$C$40/12,Assumptions!$C$42*12,((Assumptions!$C$15*(1-0.05))*(Assumptions!$C$38-0.15))),((Assumptions!$C$15*(1-0.05)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K86" s="0" t="n">
        <f aca="false">IF(8&gt;Assumptions!$H$15,0,IF('Pro Forma'!K$26="",0,'Pro Forma'!K$26-(IF(Assumptions!$C$37=1,(((Assumptions!$C$15*(1-0.05))*(Assumptions!$C$38-0.15))*Assumptions!$C$40),IF(Assumptions!$C$37=2,(-PMT(Assumptions!$C$40/12,Assumptions!$C$42*12,((Assumptions!$C$15*(1-0.05))*(Assumptions!$C$38-0.15)))*12),IF(8&lt;=Assumptions!$C$41,(((Assumptions!$C$15*(1-0.05))*(Assumptions!$C$38-0.15))*Assumptions!$C$40),(-PMT(Assumptions!$C$40/12,Assumptions!$C$42*12,((Assumptions!$C$15*(1-0.05))*(Assumptions!$C$38-0.15)))*12)))))-Assumptions!$C$58-IF(Assumptions!$C$28=1,IF(8=1,Assumptions!$C$26,0),Assumptions!$C$26/Assumptions!$H$15)-Assumptions!$C$33)+IF(8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$38-0.15)),IF(Assumptions!$C$37=2,(-FV(Assumptions!$C$40/12,Assumptions!$H$15*12,PMT(Assumptions!$C$40/12,Assumptions!$C$42*12,((Assumptions!$C$15*(1-0.05))*(Assumptions!$C$38-0.15))),((Assumptions!$C$15*(1-0.05))*(Assumptions!$C$38-0.15)))),(-FV(Assumptions!$C$40/12,MAX(0,Assumptions!$H$15-Assumptions!$C$41)*12,PMT(Assumptions!$C$40/12,Assumptions!$C$42*12,((Assumptions!$C$15*(1-0.05))*(Assumptions!$C$38-0.15))),((Assumptions!$C$15*(1-0.05)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L86" s="0" t="n">
        <f aca="false">IF(9&gt;Assumptions!$H$15,0,IF('Pro Forma'!L$26="",0,'Pro Forma'!L$26-(IF(Assumptions!$C$37=1,(((Assumptions!$C$15*(1-0.05))*(Assumptions!$C$38-0.15))*Assumptions!$C$40),IF(Assumptions!$C$37=2,(-PMT(Assumptions!$C$40/12,Assumptions!$C$42*12,((Assumptions!$C$15*(1-0.05))*(Assumptions!$C$38-0.15)))*12),IF(9&lt;=Assumptions!$C$41,(((Assumptions!$C$15*(1-0.05))*(Assumptions!$C$38-0.15))*Assumptions!$C$40),(-PMT(Assumptions!$C$40/12,Assumptions!$C$42*12,((Assumptions!$C$15*(1-0.05))*(Assumptions!$C$38-0.15)))*12)))))-Assumptions!$C$58-IF(Assumptions!$C$28=1,IF(9=1,Assumptions!$C$26,0),Assumptions!$C$26/Assumptions!$H$15)-Assumptions!$C$33)+IF(9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$38-0.15)),IF(Assumptions!$C$37=2,(-FV(Assumptions!$C$40/12,Assumptions!$H$15*12,PMT(Assumptions!$C$40/12,Assumptions!$C$42*12,((Assumptions!$C$15*(1-0.05))*(Assumptions!$C$38-0.15))),((Assumptions!$C$15*(1-0.05))*(Assumptions!$C$38-0.15)))),(-FV(Assumptions!$C$40/12,MAX(0,Assumptions!$H$15-Assumptions!$C$41)*12,PMT(Assumptions!$C$40/12,Assumptions!$C$42*12,((Assumptions!$C$15*(1-0.05))*(Assumptions!$C$38-0.15))),((Assumptions!$C$15*(1-0.05)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M86" s="0" t="n">
        <f aca="false">IF(10&gt;Assumptions!$H$15,0,IF('Pro Forma'!M$26="",0,'Pro Forma'!M$26-(IF(Assumptions!$C$37=1,(((Assumptions!$C$15*(1-0.05))*(Assumptions!$C$38-0.15))*Assumptions!$C$40),IF(Assumptions!$C$37=2,(-PMT(Assumptions!$C$40/12,Assumptions!$C$42*12,((Assumptions!$C$15*(1-0.05))*(Assumptions!$C$38-0.15)))*12),IF(10&lt;=Assumptions!$C$41,(((Assumptions!$C$15*(1-0.05))*(Assumptions!$C$38-0.15))*Assumptions!$C$40),(-PMT(Assumptions!$C$40/12,Assumptions!$C$42*12,((Assumptions!$C$15*(1-0.05))*(Assumptions!$C$38-0.15)))*12)))))-Assumptions!$C$58-IF(Assumptions!$C$28=1,IF(10=1,Assumptions!$C$26,0),Assumptions!$C$26/Assumptions!$H$15)-Assumptions!$C$33)+IF(10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(1-0.05))*(Assumptions!$C$38-0.15)),IF(Assumptions!$C$37=2,(-FV(Assumptions!$C$40/12,Assumptions!$H$15*12,PMT(Assumptions!$C$40/12,Assumptions!$C$42*12,((Assumptions!$C$15*(1-0.05))*(Assumptions!$C$38-0.15))),((Assumptions!$C$15*(1-0.05))*(Assumptions!$C$38-0.15)))),(-FV(Assumptions!$C$40/12,MAX(0,Assumptions!$H$15-Assumptions!$C$41)*12,PMT(Assumptions!$C$40/12,Assumptions!$C$42*12,((Assumptions!$C$15*(1-0.05))*(Assumptions!$C$38-0.15))),((Assumptions!$C$15*(1-0.05)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N86" s="0" t="n">
        <f aca="false">IFERROR(IRR(C86:M86),0)</f>
        <v>0</v>
      </c>
    </row>
    <row r="87" customFormat="false" ht="15" hidden="false" customHeight="false" outlineLevel="0" collapsed="false">
      <c r="C87" s="0" t="n">
        <f aca="false">-(((Assumptions!$C$15*(1-0.1))*(1+Assumptions!$C$18))-((Assumptions!$C$15*(1-0.1))*(Assumptions!$C$38-0.15)))</f>
        <v>-0</v>
      </c>
      <c r="D87" s="0" t="n">
        <f aca="false">IF(1&gt;Assumptions!$H$15,0,IF('Pro Forma'!D$26="",0,'Pro Forma'!D$26-(IF(Assumptions!$C$37=1,((Assumptions!$C$15*(Assumptions!$C$38-0.15))*Assumptions!$C$40),IF(Assumptions!$C$37=2,(-PMT(Assumptions!$C$40/12,Assumptions!$C$42*12,(Assumptions!$C$15*(Assumptions!$C$38-0.15)))*12),IF(1&lt;=Assumptions!$C$41,((Assumptions!$C$15*(Assumptions!$C$38-0.15))*Assumptions!$C$40),(-PMT(Assumptions!$C$40/12,Assumptions!$C$42*12,(Assumptions!$C$15*(Assumptions!$C$38-0.15)))*12)))))-Assumptions!$C$58-IF(Assumptions!$C$28=1,IF(1=1,Assumptions!$C$26,0),Assumptions!$C$26/Assumptions!$H$15)-Assumptions!$C$33)+IF(1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$38-0.15)),IF(Assumptions!$C$37=2,(-FV(Assumptions!$C$40/12,Assumptions!$H$15*12,PMT(Assumptions!$C$40/12,Assumptions!$C$42*12,(Assumptions!$C$15*(Assumptions!$C$38-0.15))),(Assumptions!$C$15*(Assumptions!$C$38-0.15)))),(-FV(Assumptions!$C$40/12,MAX(0,Assumptions!$H$15-Assumptions!$C$41)*12,PMT(Assumptions!$C$40/12,Assumptions!$C$42*12,(Assumptions!$C$15*(Assumptions!$C$38-0.15))),(Assumptions!$C$15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E87" s="0" t="n">
        <f aca="false">IF(2&gt;Assumptions!$H$15,0,IF('Pro Forma'!E$26="",0,'Pro Forma'!E$26-(IF(Assumptions!$C$37=1,((Assumptions!$C$15*(Assumptions!$C$38-0.15))*Assumptions!$C$40),IF(Assumptions!$C$37=2,(-PMT(Assumptions!$C$40/12,Assumptions!$C$42*12,(Assumptions!$C$15*(Assumptions!$C$38-0.15)))*12),IF(2&lt;=Assumptions!$C$41,((Assumptions!$C$15*(Assumptions!$C$38-0.15))*Assumptions!$C$40),(-PMT(Assumptions!$C$40/12,Assumptions!$C$42*12,(Assumptions!$C$15*(Assumptions!$C$38-0.15)))*12)))))-Assumptions!$C$58-IF(Assumptions!$C$28=1,IF(2=1,Assumptions!$C$26,0),Assumptions!$C$26/Assumptions!$H$15)-Assumptions!$C$33)+IF(2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$38-0.15)),IF(Assumptions!$C$37=2,(-FV(Assumptions!$C$40/12,Assumptions!$H$15*12,PMT(Assumptions!$C$40/12,Assumptions!$C$42*12,(Assumptions!$C$15*(Assumptions!$C$38-0.15))),(Assumptions!$C$15*(Assumptions!$C$38-0.15)))),(-FV(Assumptions!$C$40/12,MAX(0,Assumptions!$H$15-Assumptions!$C$41)*12,PMT(Assumptions!$C$40/12,Assumptions!$C$42*12,(Assumptions!$C$15*(Assumptions!$C$38-0.15))),(Assumptions!$C$15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F87" s="0" t="n">
        <f aca="false">IF(3&gt;Assumptions!$H$15,0,IF('Pro Forma'!F$26="",0,'Pro Forma'!F$26-(IF(Assumptions!$C$37=1,((Assumptions!$C$15*(Assumptions!$C$38-0.15))*Assumptions!$C$40),IF(Assumptions!$C$37=2,(-PMT(Assumptions!$C$40/12,Assumptions!$C$42*12,(Assumptions!$C$15*(Assumptions!$C$38-0.15)))*12),IF(3&lt;=Assumptions!$C$41,((Assumptions!$C$15*(Assumptions!$C$38-0.15))*Assumptions!$C$40),(-PMT(Assumptions!$C$40/12,Assumptions!$C$42*12,(Assumptions!$C$15*(Assumptions!$C$38-0.15)))*12)))))-Assumptions!$C$58-IF(Assumptions!$C$28=1,IF(3=1,Assumptions!$C$26,0),Assumptions!$C$26/Assumptions!$H$15)-Assumptions!$C$33)+IF(3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$38-0.15)),IF(Assumptions!$C$37=2,(-FV(Assumptions!$C$40/12,Assumptions!$H$15*12,PMT(Assumptions!$C$40/12,Assumptions!$C$42*12,(Assumptions!$C$15*(Assumptions!$C$38-0.15))),(Assumptions!$C$15*(Assumptions!$C$38-0.15)))),(-FV(Assumptions!$C$40/12,MAX(0,Assumptions!$H$15-Assumptions!$C$41)*12,PMT(Assumptions!$C$40/12,Assumptions!$C$42*12,(Assumptions!$C$15*(Assumptions!$C$38-0.15))),(Assumptions!$C$15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G87" s="0" t="n">
        <f aca="false">IF(4&gt;Assumptions!$H$15,0,IF('Pro Forma'!G$26="",0,'Pro Forma'!G$26-(IF(Assumptions!$C$37=1,((Assumptions!$C$15*(Assumptions!$C$38-0.15))*Assumptions!$C$40),IF(Assumptions!$C$37=2,(-PMT(Assumptions!$C$40/12,Assumptions!$C$42*12,(Assumptions!$C$15*(Assumptions!$C$38-0.15)))*12),IF(4&lt;=Assumptions!$C$41,((Assumptions!$C$15*(Assumptions!$C$38-0.15))*Assumptions!$C$40),(-PMT(Assumptions!$C$40/12,Assumptions!$C$42*12,(Assumptions!$C$15*(Assumptions!$C$38-0.15)))*12)))))-Assumptions!$C$58-IF(Assumptions!$C$28=1,IF(4=1,Assumptions!$C$26,0),Assumptions!$C$26/Assumptions!$H$15)-Assumptions!$C$33)+IF(4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$38-0.15)),IF(Assumptions!$C$37=2,(-FV(Assumptions!$C$40/12,Assumptions!$H$15*12,PMT(Assumptions!$C$40/12,Assumptions!$C$42*12,(Assumptions!$C$15*(Assumptions!$C$38-0.15))),(Assumptions!$C$15*(Assumptions!$C$38-0.15)))),(-FV(Assumptions!$C$40/12,MAX(0,Assumptions!$H$15-Assumptions!$C$41)*12,PMT(Assumptions!$C$40/12,Assumptions!$C$42*12,(Assumptions!$C$15*(Assumptions!$C$38-0.15))),(Assumptions!$C$15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H87" s="0" t="n">
        <f aca="false">IF(5&gt;Assumptions!$H$15,0,IF('Pro Forma'!H$26="",0,'Pro Forma'!H$26-(IF(Assumptions!$C$37=1,((Assumptions!$C$15*(Assumptions!$C$38-0.15))*Assumptions!$C$40),IF(Assumptions!$C$37=2,(-PMT(Assumptions!$C$40/12,Assumptions!$C$42*12,(Assumptions!$C$15*(Assumptions!$C$38-0.15)))*12),IF(5&lt;=Assumptions!$C$41,((Assumptions!$C$15*(Assumptions!$C$38-0.15))*Assumptions!$C$40),(-PMT(Assumptions!$C$40/12,Assumptions!$C$42*12,(Assumptions!$C$15*(Assumptions!$C$38-0.15)))*12)))))-Assumptions!$C$58-IF(Assumptions!$C$28=1,IF(5=1,Assumptions!$C$26,0),Assumptions!$C$26/Assumptions!$H$15)-Assumptions!$C$33)+IF(5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$38-0.15)),IF(Assumptions!$C$37=2,(-FV(Assumptions!$C$40/12,Assumptions!$H$15*12,PMT(Assumptions!$C$40/12,Assumptions!$C$42*12,(Assumptions!$C$15*(Assumptions!$C$38-0.15))),(Assumptions!$C$15*(Assumptions!$C$38-0.15)))),(-FV(Assumptions!$C$40/12,MAX(0,Assumptions!$H$15-Assumptions!$C$41)*12,PMT(Assumptions!$C$40/12,Assumptions!$C$42*12,(Assumptions!$C$15*(Assumptions!$C$38-0.15))),(Assumptions!$C$15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I87" s="0" t="n">
        <f aca="false">IF(6&gt;Assumptions!$H$15,0,IF('Pro Forma'!I$26="",0,'Pro Forma'!I$26-(IF(Assumptions!$C$37=1,((Assumptions!$C$15*(Assumptions!$C$38-0.15))*Assumptions!$C$40),IF(Assumptions!$C$37=2,(-PMT(Assumptions!$C$40/12,Assumptions!$C$42*12,(Assumptions!$C$15*(Assumptions!$C$38-0.15)))*12),IF(6&lt;=Assumptions!$C$41,((Assumptions!$C$15*(Assumptions!$C$38-0.15))*Assumptions!$C$40),(-PMT(Assumptions!$C$40/12,Assumptions!$C$42*12,(Assumptions!$C$15*(Assumptions!$C$38-0.15)))*12)))))-Assumptions!$C$58-IF(Assumptions!$C$28=1,IF(6=1,Assumptions!$C$26,0),Assumptions!$C$26/Assumptions!$H$15)-Assumptions!$C$33)+IF(6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$38-0.15)),IF(Assumptions!$C$37=2,(-FV(Assumptions!$C$40/12,Assumptions!$H$15*12,PMT(Assumptions!$C$40/12,Assumptions!$C$42*12,(Assumptions!$C$15*(Assumptions!$C$38-0.15))),(Assumptions!$C$15*(Assumptions!$C$38-0.15)))),(-FV(Assumptions!$C$40/12,MAX(0,Assumptions!$H$15-Assumptions!$C$41)*12,PMT(Assumptions!$C$40/12,Assumptions!$C$42*12,(Assumptions!$C$15*(Assumptions!$C$38-0.15))),(Assumptions!$C$15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J87" s="0" t="n">
        <f aca="false">IF(7&gt;Assumptions!$H$15,0,IF('Pro Forma'!J$26="",0,'Pro Forma'!J$26-(IF(Assumptions!$C$37=1,((Assumptions!$C$15*(Assumptions!$C$38-0.15))*Assumptions!$C$40),IF(Assumptions!$C$37=2,(-PMT(Assumptions!$C$40/12,Assumptions!$C$42*12,(Assumptions!$C$15*(Assumptions!$C$38-0.15)))*12),IF(7&lt;=Assumptions!$C$41,((Assumptions!$C$15*(Assumptions!$C$38-0.15))*Assumptions!$C$40),(-PMT(Assumptions!$C$40/12,Assumptions!$C$42*12,(Assumptions!$C$15*(Assumptions!$C$38-0.15)))*12)))))-Assumptions!$C$58-IF(Assumptions!$C$28=1,IF(7=1,Assumptions!$C$26,0),Assumptions!$C$26/Assumptions!$H$15)-Assumptions!$C$33)+IF(7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$38-0.15)),IF(Assumptions!$C$37=2,(-FV(Assumptions!$C$40/12,Assumptions!$H$15*12,PMT(Assumptions!$C$40/12,Assumptions!$C$42*12,(Assumptions!$C$15*(Assumptions!$C$38-0.15))),(Assumptions!$C$15*(Assumptions!$C$38-0.15)))),(-FV(Assumptions!$C$40/12,MAX(0,Assumptions!$H$15-Assumptions!$C$41)*12,PMT(Assumptions!$C$40/12,Assumptions!$C$42*12,(Assumptions!$C$15*(Assumptions!$C$38-0.15))),(Assumptions!$C$15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K87" s="0" t="n">
        <f aca="false">IF(8&gt;Assumptions!$H$15,0,IF('Pro Forma'!K$26="",0,'Pro Forma'!K$26-(IF(Assumptions!$C$37=1,((Assumptions!$C$15*(Assumptions!$C$38-0.15))*Assumptions!$C$40),IF(Assumptions!$C$37=2,(-PMT(Assumptions!$C$40/12,Assumptions!$C$42*12,(Assumptions!$C$15*(Assumptions!$C$38-0.15)))*12),IF(8&lt;=Assumptions!$C$41,((Assumptions!$C$15*(Assumptions!$C$38-0.15))*Assumptions!$C$40),(-PMT(Assumptions!$C$40/12,Assumptions!$C$42*12,(Assumptions!$C$15*(Assumptions!$C$38-0.15)))*12)))))-Assumptions!$C$58-IF(Assumptions!$C$28=1,IF(8=1,Assumptions!$C$26,0),Assumptions!$C$26/Assumptions!$H$15)-Assumptions!$C$33)+IF(8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$38-0.15)),IF(Assumptions!$C$37=2,(-FV(Assumptions!$C$40/12,Assumptions!$H$15*12,PMT(Assumptions!$C$40/12,Assumptions!$C$42*12,(Assumptions!$C$15*(Assumptions!$C$38-0.15))),(Assumptions!$C$15*(Assumptions!$C$38-0.15)))),(-FV(Assumptions!$C$40/12,MAX(0,Assumptions!$H$15-Assumptions!$C$41)*12,PMT(Assumptions!$C$40/12,Assumptions!$C$42*12,(Assumptions!$C$15*(Assumptions!$C$38-0.15))),(Assumptions!$C$15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L87" s="0" t="n">
        <f aca="false">IF(9&gt;Assumptions!$H$15,0,IF('Pro Forma'!L$26="",0,'Pro Forma'!L$26-(IF(Assumptions!$C$37=1,((Assumptions!$C$15*(Assumptions!$C$38-0.15))*Assumptions!$C$40),IF(Assumptions!$C$37=2,(-PMT(Assumptions!$C$40/12,Assumptions!$C$42*12,(Assumptions!$C$15*(Assumptions!$C$38-0.15)))*12),IF(9&lt;=Assumptions!$C$41,((Assumptions!$C$15*(Assumptions!$C$38-0.15))*Assumptions!$C$40),(-PMT(Assumptions!$C$40/12,Assumptions!$C$42*12,(Assumptions!$C$15*(Assumptions!$C$38-0.15)))*12)))))-Assumptions!$C$58-IF(Assumptions!$C$28=1,IF(9=1,Assumptions!$C$26,0),Assumptions!$C$26/Assumptions!$H$15)-Assumptions!$C$33)+IF(9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$38-0.15)),IF(Assumptions!$C$37=2,(-FV(Assumptions!$C$40/12,Assumptions!$H$15*12,PMT(Assumptions!$C$40/12,Assumptions!$C$42*12,(Assumptions!$C$15*(Assumptions!$C$38-0.15))),(Assumptions!$C$15*(Assumptions!$C$38-0.15)))),(-FV(Assumptions!$C$40/12,MAX(0,Assumptions!$H$15-Assumptions!$C$41)*12,PMT(Assumptions!$C$40/12,Assumptions!$C$42*12,(Assumptions!$C$15*(Assumptions!$C$38-0.15))),(Assumptions!$C$15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M87" s="0" t="n">
        <f aca="false">IF(10&gt;Assumptions!$H$15,0,IF('Pro Forma'!M$26="",0,'Pro Forma'!M$26-(IF(Assumptions!$C$37=1,((Assumptions!$C$15*(Assumptions!$C$38-0.15))*Assumptions!$C$40),IF(Assumptions!$C$37=2,(-PMT(Assumptions!$C$40/12,Assumptions!$C$42*12,(Assumptions!$C$15*(Assumptions!$C$38-0.15)))*12),IF(10&lt;=Assumptions!$C$41,((Assumptions!$C$15*(Assumptions!$C$38-0.15))*Assumptions!$C$40),(-PMT(Assumptions!$C$40/12,Assumptions!$C$42*12,(Assumptions!$C$15*(Assumptions!$C$38-0.15)))*12)))))-Assumptions!$C$58-IF(Assumptions!$C$28=1,IF(10=1,Assumptions!$C$26,0),Assumptions!$C$26/Assumptions!$H$15)-Assumptions!$C$33)+IF(10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Assumptions!$C$15*(Assumptions!$C$38-0.15)),IF(Assumptions!$C$37=2,(-FV(Assumptions!$C$40/12,Assumptions!$H$15*12,PMT(Assumptions!$C$40/12,Assumptions!$C$42*12,(Assumptions!$C$15*(Assumptions!$C$38-0.15))),(Assumptions!$C$15*(Assumptions!$C$38-0.15)))),(-FV(Assumptions!$C$40/12,MAX(0,Assumptions!$H$15-Assumptions!$C$41)*12,PMT(Assumptions!$C$40/12,Assumptions!$C$42*12,(Assumptions!$C$15*(Assumptions!$C$38-0.15))),(Assumptions!$C$15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N87" s="0" t="n">
        <f aca="false">IFERROR(IRR(C87:M87),0)</f>
        <v>0</v>
      </c>
    </row>
    <row r="88" customFormat="false" ht="15" hidden="false" customHeight="false" outlineLevel="0" collapsed="false">
      <c r="C88" s="0" t="n">
        <f aca="false">-(((Assumptions!$C$15*(1-0.1))*(1+Assumptions!$C$18))-((Assumptions!$C$15*(1-0.1))*(Assumptions!$C$38-0.15)))</f>
        <v>-0</v>
      </c>
      <c r="D88" s="0" t="n">
        <f aca="false">IF(1&gt;Assumptions!$H$15,0,IF('Pro Forma'!D$26="",0,'Pro Forma'!D$26-(IF(Assumptions!$C$37=1,(((Assumptions!$C$15*(1+0.05))*(Assumptions!$C$38-0.15))*Assumptions!$C$40),IF(Assumptions!$C$37=2,(-PMT(Assumptions!$C$40/12,Assumptions!$C$42*12,((Assumptions!$C$15*(1+0.05))*(Assumptions!$C$38-0.15)))*12),IF(1&lt;=Assumptions!$C$41,(((Assumptions!$C$15*(1+0.05))*(Assumptions!$C$38-0.15))*Assumptions!$C$40),(-PMT(Assumptions!$C$40/12,Assumptions!$C$42*12,((Assumptions!$C$15*(1+0.05))*(Assumptions!$C$38-0.15)))*12)))))-Assumptions!$C$58-IF(Assumptions!$C$28=1,IF(1=1,Assumptions!$C$26,0),Assumptions!$C$26/Assumptions!$H$15)-Assumptions!$C$33)+IF(1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$38-0.15)),IF(Assumptions!$C$37=2,(-FV(Assumptions!$C$40/12,Assumptions!$H$15*12,PMT(Assumptions!$C$40/12,Assumptions!$C$42*12,((Assumptions!$C$15*(1+0.05))*(Assumptions!$C$38-0.15))),((Assumptions!$C$15*(1+0.05))*(Assumptions!$C$38-0.15)))),(-FV(Assumptions!$C$40/12,MAX(0,Assumptions!$H$15-Assumptions!$C$41)*12,PMT(Assumptions!$C$40/12,Assumptions!$C$42*12,((Assumptions!$C$15*(1+0.05))*(Assumptions!$C$38-0.15))),((Assumptions!$C$15*(1+0.05)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E88" s="0" t="n">
        <f aca="false">IF(2&gt;Assumptions!$H$15,0,IF('Pro Forma'!E$26="",0,'Pro Forma'!E$26-(IF(Assumptions!$C$37=1,(((Assumptions!$C$15*(1+0.05))*(Assumptions!$C$38-0.15))*Assumptions!$C$40),IF(Assumptions!$C$37=2,(-PMT(Assumptions!$C$40/12,Assumptions!$C$42*12,((Assumptions!$C$15*(1+0.05))*(Assumptions!$C$38-0.15)))*12),IF(2&lt;=Assumptions!$C$41,(((Assumptions!$C$15*(1+0.05))*(Assumptions!$C$38-0.15))*Assumptions!$C$40),(-PMT(Assumptions!$C$40/12,Assumptions!$C$42*12,((Assumptions!$C$15*(1+0.05))*(Assumptions!$C$38-0.15)))*12)))))-Assumptions!$C$58-IF(Assumptions!$C$28=1,IF(2=1,Assumptions!$C$26,0),Assumptions!$C$26/Assumptions!$H$15)-Assumptions!$C$33)+IF(2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$38-0.15)),IF(Assumptions!$C$37=2,(-FV(Assumptions!$C$40/12,Assumptions!$H$15*12,PMT(Assumptions!$C$40/12,Assumptions!$C$42*12,((Assumptions!$C$15*(1+0.05))*(Assumptions!$C$38-0.15))),((Assumptions!$C$15*(1+0.05))*(Assumptions!$C$38-0.15)))),(-FV(Assumptions!$C$40/12,MAX(0,Assumptions!$H$15-Assumptions!$C$41)*12,PMT(Assumptions!$C$40/12,Assumptions!$C$42*12,((Assumptions!$C$15*(1+0.05))*(Assumptions!$C$38-0.15))),((Assumptions!$C$15*(1+0.05)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F88" s="0" t="n">
        <f aca="false">IF(3&gt;Assumptions!$H$15,0,IF('Pro Forma'!F$26="",0,'Pro Forma'!F$26-(IF(Assumptions!$C$37=1,(((Assumptions!$C$15*(1+0.05))*(Assumptions!$C$38-0.15))*Assumptions!$C$40),IF(Assumptions!$C$37=2,(-PMT(Assumptions!$C$40/12,Assumptions!$C$42*12,((Assumptions!$C$15*(1+0.05))*(Assumptions!$C$38-0.15)))*12),IF(3&lt;=Assumptions!$C$41,(((Assumptions!$C$15*(1+0.05))*(Assumptions!$C$38-0.15))*Assumptions!$C$40),(-PMT(Assumptions!$C$40/12,Assumptions!$C$42*12,((Assumptions!$C$15*(1+0.05))*(Assumptions!$C$38-0.15)))*12)))))-Assumptions!$C$58-IF(Assumptions!$C$28=1,IF(3=1,Assumptions!$C$26,0),Assumptions!$C$26/Assumptions!$H$15)-Assumptions!$C$33)+IF(3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$38-0.15)),IF(Assumptions!$C$37=2,(-FV(Assumptions!$C$40/12,Assumptions!$H$15*12,PMT(Assumptions!$C$40/12,Assumptions!$C$42*12,((Assumptions!$C$15*(1+0.05))*(Assumptions!$C$38-0.15))),((Assumptions!$C$15*(1+0.05))*(Assumptions!$C$38-0.15)))),(-FV(Assumptions!$C$40/12,MAX(0,Assumptions!$H$15-Assumptions!$C$41)*12,PMT(Assumptions!$C$40/12,Assumptions!$C$42*12,((Assumptions!$C$15*(1+0.05))*(Assumptions!$C$38-0.15))),((Assumptions!$C$15*(1+0.05)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G88" s="0" t="n">
        <f aca="false">IF(4&gt;Assumptions!$H$15,0,IF('Pro Forma'!G$26="",0,'Pro Forma'!G$26-(IF(Assumptions!$C$37=1,(((Assumptions!$C$15*(1+0.05))*(Assumptions!$C$38-0.15))*Assumptions!$C$40),IF(Assumptions!$C$37=2,(-PMT(Assumptions!$C$40/12,Assumptions!$C$42*12,((Assumptions!$C$15*(1+0.05))*(Assumptions!$C$38-0.15)))*12),IF(4&lt;=Assumptions!$C$41,(((Assumptions!$C$15*(1+0.05))*(Assumptions!$C$38-0.15))*Assumptions!$C$40),(-PMT(Assumptions!$C$40/12,Assumptions!$C$42*12,((Assumptions!$C$15*(1+0.05))*(Assumptions!$C$38-0.15)))*12)))))-Assumptions!$C$58-IF(Assumptions!$C$28=1,IF(4=1,Assumptions!$C$26,0),Assumptions!$C$26/Assumptions!$H$15)-Assumptions!$C$33)+IF(4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$38-0.15)),IF(Assumptions!$C$37=2,(-FV(Assumptions!$C$40/12,Assumptions!$H$15*12,PMT(Assumptions!$C$40/12,Assumptions!$C$42*12,((Assumptions!$C$15*(1+0.05))*(Assumptions!$C$38-0.15))),((Assumptions!$C$15*(1+0.05))*(Assumptions!$C$38-0.15)))),(-FV(Assumptions!$C$40/12,MAX(0,Assumptions!$H$15-Assumptions!$C$41)*12,PMT(Assumptions!$C$40/12,Assumptions!$C$42*12,((Assumptions!$C$15*(1+0.05))*(Assumptions!$C$38-0.15))),((Assumptions!$C$15*(1+0.05)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H88" s="0" t="n">
        <f aca="false">IF(5&gt;Assumptions!$H$15,0,IF('Pro Forma'!H$26="",0,'Pro Forma'!H$26-(IF(Assumptions!$C$37=1,(((Assumptions!$C$15*(1+0.05))*(Assumptions!$C$38-0.15))*Assumptions!$C$40),IF(Assumptions!$C$37=2,(-PMT(Assumptions!$C$40/12,Assumptions!$C$42*12,((Assumptions!$C$15*(1+0.05))*(Assumptions!$C$38-0.15)))*12),IF(5&lt;=Assumptions!$C$41,(((Assumptions!$C$15*(1+0.05))*(Assumptions!$C$38-0.15))*Assumptions!$C$40),(-PMT(Assumptions!$C$40/12,Assumptions!$C$42*12,((Assumptions!$C$15*(1+0.05))*(Assumptions!$C$38-0.15)))*12)))))-Assumptions!$C$58-IF(Assumptions!$C$28=1,IF(5=1,Assumptions!$C$26,0),Assumptions!$C$26/Assumptions!$H$15)-Assumptions!$C$33)+IF(5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$38-0.15)),IF(Assumptions!$C$37=2,(-FV(Assumptions!$C$40/12,Assumptions!$H$15*12,PMT(Assumptions!$C$40/12,Assumptions!$C$42*12,((Assumptions!$C$15*(1+0.05))*(Assumptions!$C$38-0.15))),((Assumptions!$C$15*(1+0.05))*(Assumptions!$C$38-0.15)))),(-FV(Assumptions!$C$40/12,MAX(0,Assumptions!$H$15-Assumptions!$C$41)*12,PMT(Assumptions!$C$40/12,Assumptions!$C$42*12,((Assumptions!$C$15*(1+0.05))*(Assumptions!$C$38-0.15))),((Assumptions!$C$15*(1+0.05)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I88" s="0" t="n">
        <f aca="false">IF(6&gt;Assumptions!$H$15,0,IF('Pro Forma'!I$26="",0,'Pro Forma'!I$26-(IF(Assumptions!$C$37=1,(((Assumptions!$C$15*(1+0.05))*(Assumptions!$C$38-0.15))*Assumptions!$C$40),IF(Assumptions!$C$37=2,(-PMT(Assumptions!$C$40/12,Assumptions!$C$42*12,((Assumptions!$C$15*(1+0.05))*(Assumptions!$C$38-0.15)))*12),IF(6&lt;=Assumptions!$C$41,(((Assumptions!$C$15*(1+0.05))*(Assumptions!$C$38-0.15))*Assumptions!$C$40),(-PMT(Assumptions!$C$40/12,Assumptions!$C$42*12,((Assumptions!$C$15*(1+0.05))*(Assumptions!$C$38-0.15)))*12)))))-Assumptions!$C$58-IF(Assumptions!$C$28=1,IF(6=1,Assumptions!$C$26,0),Assumptions!$C$26/Assumptions!$H$15)-Assumptions!$C$33)+IF(6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$38-0.15)),IF(Assumptions!$C$37=2,(-FV(Assumptions!$C$40/12,Assumptions!$H$15*12,PMT(Assumptions!$C$40/12,Assumptions!$C$42*12,((Assumptions!$C$15*(1+0.05))*(Assumptions!$C$38-0.15))),((Assumptions!$C$15*(1+0.05))*(Assumptions!$C$38-0.15)))),(-FV(Assumptions!$C$40/12,MAX(0,Assumptions!$H$15-Assumptions!$C$41)*12,PMT(Assumptions!$C$40/12,Assumptions!$C$42*12,((Assumptions!$C$15*(1+0.05))*(Assumptions!$C$38-0.15))),((Assumptions!$C$15*(1+0.05)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J88" s="0" t="n">
        <f aca="false">IF(7&gt;Assumptions!$H$15,0,IF('Pro Forma'!J$26="",0,'Pro Forma'!J$26-(IF(Assumptions!$C$37=1,(((Assumptions!$C$15*(1+0.05))*(Assumptions!$C$38-0.15))*Assumptions!$C$40),IF(Assumptions!$C$37=2,(-PMT(Assumptions!$C$40/12,Assumptions!$C$42*12,((Assumptions!$C$15*(1+0.05))*(Assumptions!$C$38-0.15)))*12),IF(7&lt;=Assumptions!$C$41,(((Assumptions!$C$15*(1+0.05))*(Assumptions!$C$38-0.15))*Assumptions!$C$40),(-PMT(Assumptions!$C$40/12,Assumptions!$C$42*12,((Assumptions!$C$15*(1+0.05))*(Assumptions!$C$38-0.15)))*12)))))-Assumptions!$C$58-IF(Assumptions!$C$28=1,IF(7=1,Assumptions!$C$26,0),Assumptions!$C$26/Assumptions!$H$15)-Assumptions!$C$33)+IF(7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$38-0.15)),IF(Assumptions!$C$37=2,(-FV(Assumptions!$C$40/12,Assumptions!$H$15*12,PMT(Assumptions!$C$40/12,Assumptions!$C$42*12,((Assumptions!$C$15*(1+0.05))*(Assumptions!$C$38-0.15))),((Assumptions!$C$15*(1+0.05))*(Assumptions!$C$38-0.15)))),(-FV(Assumptions!$C$40/12,MAX(0,Assumptions!$H$15-Assumptions!$C$41)*12,PMT(Assumptions!$C$40/12,Assumptions!$C$42*12,((Assumptions!$C$15*(1+0.05))*(Assumptions!$C$38-0.15))),((Assumptions!$C$15*(1+0.05)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K88" s="0" t="n">
        <f aca="false">IF(8&gt;Assumptions!$H$15,0,IF('Pro Forma'!K$26="",0,'Pro Forma'!K$26-(IF(Assumptions!$C$37=1,(((Assumptions!$C$15*(1+0.05))*(Assumptions!$C$38-0.15))*Assumptions!$C$40),IF(Assumptions!$C$37=2,(-PMT(Assumptions!$C$40/12,Assumptions!$C$42*12,((Assumptions!$C$15*(1+0.05))*(Assumptions!$C$38-0.15)))*12),IF(8&lt;=Assumptions!$C$41,(((Assumptions!$C$15*(1+0.05))*(Assumptions!$C$38-0.15))*Assumptions!$C$40),(-PMT(Assumptions!$C$40/12,Assumptions!$C$42*12,((Assumptions!$C$15*(1+0.05))*(Assumptions!$C$38-0.15)))*12)))))-Assumptions!$C$58-IF(Assumptions!$C$28=1,IF(8=1,Assumptions!$C$26,0),Assumptions!$C$26/Assumptions!$H$15)-Assumptions!$C$33)+IF(8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$38-0.15)),IF(Assumptions!$C$37=2,(-FV(Assumptions!$C$40/12,Assumptions!$H$15*12,PMT(Assumptions!$C$40/12,Assumptions!$C$42*12,((Assumptions!$C$15*(1+0.05))*(Assumptions!$C$38-0.15))),((Assumptions!$C$15*(1+0.05))*(Assumptions!$C$38-0.15)))),(-FV(Assumptions!$C$40/12,MAX(0,Assumptions!$H$15-Assumptions!$C$41)*12,PMT(Assumptions!$C$40/12,Assumptions!$C$42*12,((Assumptions!$C$15*(1+0.05))*(Assumptions!$C$38-0.15))),((Assumptions!$C$15*(1+0.05)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L88" s="0" t="n">
        <f aca="false">IF(9&gt;Assumptions!$H$15,0,IF('Pro Forma'!L$26="",0,'Pro Forma'!L$26-(IF(Assumptions!$C$37=1,(((Assumptions!$C$15*(1+0.05))*(Assumptions!$C$38-0.15))*Assumptions!$C$40),IF(Assumptions!$C$37=2,(-PMT(Assumptions!$C$40/12,Assumptions!$C$42*12,((Assumptions!$C$15*(1+0.05))*(Assumptions!$C$38-0.15)))*12),IF(9&lt;=Assumptions!$C$41,(((Assumptions!$C$15*(1+0.05))*(Assumptions!$C$38-0.15))*Assumptions!$C$40),(-PMT(Assumptions!$C$40/12,Assumptions!$C$42*12,((Assumptions!$C$15*(1+0.05))*(Assumptions!$C$38-0.15)))*12)))))-Assumptions!$C$58-IF(Assumptions!$C$28=1,IF(9=1,Assumptions!$C$26,0),Assumptions!$C$26/Assumptions!$H$15)-Assumptions!$C$33)+IF(9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$38-0.15)),IF(Assumptions!$C$37=2,(-FV(Assumptions!$C$40/12,Assumptions!$H$15*12,PMT(Assumptions!$C$40/12,Assumptions!$C$42*12,((Assumptions!$C$15*(1+0.05))*(Assumptions!$C$38-0.15))),((Assumptions!$C$15*(1+0.05))*(Assumptions!$C$38-0.15)))),(-FV(Assumptions!$C$40/12,MAX(0,Assumptions!$H$15-Assumptions!$C$41)*12,PMT(Assumptions!$C$40/12,Assumptions!$C$42*12,((Assumptions!$C$15*(1+0.05))*(Assumptions!$C$38-0.15))),((Assumptions!$C$15*(1+0.05)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M88" s="0" t="n">
        <f aca="false">IF(10&gt;Assumptions!$H$15,0,IF('Pro Forma'!M$26="",0,'Pro Forma'!M$26-(IF(Assumptions!$C$37=1,(((Assumptions!$C$15*(1+0.05))*(Assumptions!$C$38-0.15))*Assumptions!$C$40),IF(Assumptions!$C$37=2,(-PMT(Assumptions!$C$40/12,Assumptions!$C$42*12,((Assumptions!$C$15*(1+0.05))*(Assumptions!$C$38-0.15)))*12),IF(10&lt;=Assumptions!$C$41,(((Assumptions!$C$15*(1+0.05))*(Assumptions!$C$38-0.15))*Assumptions!$C$40),(-PMT(Assumptions!$C$40/12,Assumptions!$C$42*12,((Assumptions!$C$15*(1+0.05))*(Assumptions!$C$38-0.15)))*12)))))-Assumptions!$C$58-IF(Assumptions!$C$28=1,IF(10=1,Assumptions!$C$26,0),Assumptions!$C$26/Assumptions!$H$15)-Assumptions!$C$33)+IF(10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+0.05))*(Assumptions!$C$38-0.15)),IF(Assumptions!$C$37=2,(-FV(Assumptions!$C$40/12,Assumptions!$H$15*12,PMT(Assumptions!$C$40/12,Assumptions!$C$42*12,((Assumptions!$C$15*(1+0.05))*(Assumptions!$C$38-0.15))),((Assumptions!$C$15*(1+0.05))*(Assumptions!$C$38-0.15)))),(-FV(Assumptions!$C$40/12,MAX(0,Assumptions!$H$15-Assumptions!$C$41)*12,PMT(Assumptions!$C$40/12,Assumptions!$C$42*12,((Assumptions!$C$15*(1+0.05))*(Assumptions!$C$38-0.15))),((Assumptions!$C$15*(1+0.05)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N88" s="0" t="n">
        <f aca="false">IFERROR(IRR(C88:M88),0)</f>
        <v>0</v>
      </c>
    </row>
    <row r="89" customFormat="false" ht="15" hidden="false" customHeight="false" outlineLevel="0" collapsed="false">
      <c r="C89" s="0" t="n">
        <f aca="false">-(((Assumptions!$C$15*(1-0.1))*(1+Assumptions!$C$18))-((Assumptions!$C$15*(1-0.1))*(Assumptions!$C$38-0.15)))</f>
        <v>-0</v>
      </c>
      <c r="D89" s="0" t="n">
        <f aca="false">IF(1&gt;Assumptions!$H$15,0,IF('Pro Forma'!D$26="",0,'Pro Forma'!D$26-(IF(Assumptions!$C$37=1,(((Assumptions!$C$15*(1+0.1))*(Assumptions!$C$38-0.15))*Assumptions!$C$40),IF(Assumptions!$C$37=2,(-PMT(Assumptions!$C$40/12,Assumptions!$C$42*12,((Assumptions!$C$15*(1+0.1))*(Assumptions!$C$38-0.15)))*12),IF(1&lt;=Assumptions!$C$41,(((Assumptions!$C$15*(1+0.1))*(Assumptions!$C$38-0.15))*Assumptions!$C$40),(-PMT(Assumptions!$C$40/12,Assumptions!$C$42*12,((Assumptions!$C$15*(1+0.1))*(Assumptions!$C$38-0.15)))*12)))))-Assumptions!$C$58-IF(Assumptions!$C$28=1,IF(1=1,Assumptions!$C$26,0),Assumptions!$C$26/Assumptions!$H$15)-Assumptions!$C$33)+IF(1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$38-0.15)),IF(Assumptions!$C$37=2,(-FV(Assumptions!$C$40/12,Assumptions!$H$15*12,PMT(Assumptions!$C$40/12,Assumptions!$C$42*12,((Assumptions!$C$15*(1+0.1))*(Assumptions!$C$38-0.15))),((Assumptions!$C$15*(1+0.1))*(Assumptions!$C$38-0.15)))),(-FV(Assumptions!$C$40/12,MAX(0,Assumptions!$H$15-Assumptions!$C$41)*12,PMT(Assumptions!$C$40/12,Assumptions!$C$42*12,((Assumptions!$C$15*(1+0.1))*(Assumptions!$C$38-0.15))),((Assumptions!$C$15*(1+0.1)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E89" s="0" t="n">
        <f aca="false">IF(2&gt;Assumptions!$H$15,0,IF('Pro Forma'!E$26="",0,'Pro Forma'!E$26-(IF(Assumptions!$C$37=1,(((Assumptions!$C$15*(1+0.1))*(Assumptions!$C$38-0.15))*Assumptions!$C$40),IF(Assumptions!$C$37=2,(-PMT(Assumptions!$C$40/12,Assumptions!$C$42*12,((Assumptions!$C$15*(1+0.1))*(Assumptions!$C$38-0.15)))*12),IF(2&lt;=Assumptions!$C$41,(((Assumptions!$C$15*(1+0.1))*(Assumptions!$C$38-0.15))*Assumptions!$C$40),(-PMT(Assumptions!$C$40/12,Assumptions!$C$42*12,((Assumptions!$C$15*(1+0.1))*(Assumptions!$C$38-0.15)))*12)))))-Assumptions!$C$58-IF(Assumptions!$C$28=1,IF(2=1,Assumptions!$C$26,0),Assumptions!$C$26/Assumptions!$H$15)-Assumptions!$C$33)+IF(2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$38-0.15)),IF(Assumptions!$C$37=2,(-FV(Assumptions!$C$40/12,Assumptions!$H$15*12,PMT(Assumptions!$C$40/12,Assumptions!$C$42*12,((Assumptions!$C$15*(1+0.1))*(Assumptions!$C$38-0.15))),((Assumptions!$C$15*(1+0.1))*(Assumptions!$C$38-0.15)))),(-FV(Assumptions!$C$40/12,MAX(0,Assumptions!$H$15-Assumptions!$C$41)*12,PMT(Assumptions!$C$40/12,Assumptions!$C$42*12,((Assumptions!$C$15*(1+0.1))*(Assumptions!$C$38-0.15))),((Assumptions!$C$15*(1+0.1)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F89" s="0" t="n">
        <f aca="false">IF(3&gt;Assumptions!$H$15,0,IF('Pro Forma'!F$26="",0,'Pro Forma'!F$26-(IF(Assumptions!$C$37=1,(((Assumptions!$C$15*(1+0.1))*(Assumptions!$C$38-0.15))*Assumptions!$C$40),IF(Assumptions!$C$37=2,(-PMT(Assumptions!$C$40/12,Assumptions!$C$42*12,((Assumptions!$C$15*(1+0.1))*(Assumptions!$C$38-0.15)))*12),IF(3&lt;=Assumptions!$C$41,(((Assumptions!$C$15*(1+0.1))*(Assumptions!$C$38-0.15))*Assumptions!$C$40),(-PMT(Assumptions!$C$40/12,Assumptions!$C$42*12,((Assumptions!$C$15*(1+0.1))*(Assumptions!$C$38-0.15)))*12)))))-Assumptions!$C$58-IF(Assumptions!$C$28=1,IF(3=1,Assumptions!$C$26,0),Assumptions!$C$26/Assumptions!$H$15)-Assumptions!$C$33)+IF(3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$38-0.15)),IF(Assumptions!$C$37=2,(-FV(Assumptions!$C$40/12,Assumptions!$H$15*12,PMT(Assumptions!$C$40/12,Assumptions!$C$42*12,((Assumptions!$C$15*(1+0.1))*(Assumptions!$C$38-0.15))),((Assumptions!$C$15*(1+0.1))*(Assumptions!$C$38-0.15)))),(-FV(Assumptions!$C$40/12,MAX(0,Assumptions!$H$15-Assumptions!$C$41)*12,PMT(Assumptions!$C$40/12,Assumptions!$C$42*12,((Assumptions!$C$15*(1+0.1))*(Assumptions!$C$38-0.15))),((Assumptions!$C$15*(1+0.1)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G89" s="0" t="n">
        <f aca="false">IF(4&gt;Assumptions!$H$15,0,IF('Pro Forma'!G$26="",0,'Pro Forma'!G$26-(IF(Assumptions!$C$37=1,(((Assumptions!$C$15*(1+0.1))*(Assumptions!$C$38-0.15))*Assumptions!$C$40),IF(Assumptions!$C$37=2,(-PMT(Assumptions!$C$40/12,Assumptions!$C$42*12,((Assumptions!$C$15*(1+0.1))*(Assumptions!$C$38-0.15)))*12),IF(4&lt;=Assumptions!$C$41,(((Assumptions!$C$15*(1+0.1))*(Assumptions!$C$38-0.15))*Assumptions!$C$40),(-PMT(Assumptions!$C$40/12,Assumptions!$C$42*12,((Assumptions!$C$15*(1+0.1))*(Assumptions!$C$38-0.15)))*12)))))-Assumptions!$C$58-IF(Assumptions!$C$28=1,IF(4=1,Assumptions!$C$26,0),Assumptions!$C$26/Assumptions!$H$15)-Assumptions!$C$33)+IF(4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$38-0.15)),IF(Assumptions!$C$37=2,(-FV(Assumptions!$C$40/12,Assumptions!$H$15*12,PMT(Assumptions!$C$40/12,Assumptions!$C$42*12,((Assumptions!$C$15*(1+0.1))*(Assumptions!$C$38-0.15))),((Assumptions!$C$15*(1+0.1))*(Assumptions!$C$38-0.15)))),(-FV(Assumptions!$C$40/12,MAX(0,Assumptions!$H$15-Assumptions!$C$41)*12,PMT(Assumptions!$C$40/12,Assumptions!$C$42*12,((Assumptions!$C$15*(1+0.1))*(Assumptions!$C$38-0.15))),((Assumptions!$C$15*(1+0.1)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H89" s="0" t="n">
        <f aca="false">IF(5&gt;Assumptions!$H$15,0,IF('Pro Forma'!H$26="",0,'Pro Forma'!H$26-(IF(Assumptions!$C$37=1,(((Assumptions!$C$15*(1+0.1))*(Assumptions!$C$38-0.15))*Assumptions!$C$40),IF(Assumptions!$C$37=2,(-PMT(Assumptions!$C$40/12,Assumptions!$C$42*12,((Assumptions!$C$15*(1+0.1))*(Assumptions!$C$38-0.15)))*12),IF(5&lt;=Assumptions!$C$41,(((Assumptions!$C$15*(1+0.1))*(Assumptions!$C$38-0.15))*Assumptions!$C$40),(-PMT(Assumptions!$C$40/12,Assumptions!$C$42*12,((Assumptions!$C$15*(1+0.1))*(Assumptions!$C$38-0.15)))*12)))))-Assumptions!$C$58-IF(Assumptions!$C$28=1,IF(5=1,Assumptions!$C$26,0),Assumptions!$C$26/Assumptions!$H$15)-Assumptions!$C$33)+IF(5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$38-0.15)),IF(Assumptions!$C$37=2,(-FV(Assumptions!$C$40/12,Assumptions!$H$15*12,PMT(Assumptions!$C$40/12,Assumptions!$C$42*12,((Assumptions!$C$15*(1+0.1))*(Assumptions!$C$38-0.15))),((Assumptions!$C$15*(1+0.1))*(Assumptions!$C$38-0.15)))),(-FV(Assumptions!$C$40/12,MAX(0,Assumptions!$H$15-Assumptions!$C$41)*12,PMT(Assumptions!$C$40/12,Assumptions!$C$42*12,((Assumptions!$C$15*(1+0.1))*(Assumptions!$C$38-0.15))),((Assumptions!$C$15*(1+0.1)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I89" s="0" t="n">
        <f aca="false">IF(6&gt;Assumptions!$H$15,0,IF('Pro Forma'!I$26="",0,'Pro Forma'!I$26-(IF(Assumptions!$C$37=1,(((Assumptions!$C$15*(1+0.1))*(Assumptions!$C$38-0.15))*Assumptions!$C$40),IF(Assumptions!$C$37=2,(-PMT(Assumptions!$C$40/12,Assumptions!$C$42*12,((Assumptions!$C$15*(1+0.1))*(Assumptions!$C$38-0.15)))*12),IF(6&lt;=Assumptions!$C$41,(((Assumptions!$C$15*(1+0.1))*(Assumptions!$C$38-0.15))*Assumptions!$C$40),(-PMT(Assumptions!$C$40/12,Assumptions!$C$42*12,((Assumptions!$C$15*(1+0.1))*(Assumptions!$C$38-0.15)))*12)))))-Assumptions!$C$58-IF(Assumptions!$C$28=1,IF(6=1,Assumptions!$C$26,0),Assumptions!$C$26/Assumptions!$H$15)-Assumptions!$C$33)+IF(6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$38-0.15)),IF(Assumptions!$C$37=2,(-FV(Assumptions!$C$40/12,Assumptions!$H$15*12,PMT(Assumptions!$C$40/12,Assumptions!$C$42*12,((Assumptions!$C$15*(1+0.1))*(Assumptions!$C$38-0.15))),((Assumptions!$C$15*(1+0.1))*(Assumptions!$C$38-0.15)))),(-FV(Assumptions!$C$40/12,MAX(0,Assumptions!$H$15-Assumptions!$C$41)*12,PMT(Assumptions!$C$40/12,Assumptions!$C$42*12,((Assumptions!$C$15*(1+0.1))*(Assumptions!$C$38-0.15))),((Assumptions!$C$15*(1+0.1)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J89" s="0" t="n">
        <f aca="false">IF(7&gt;Assumptions!$H$15,0,IF('Pro Forma'!J$26="",0,'Pro Forma'!J$26-(IF(Assumptions!$C$37=1,(((Assumptions!$C$15*(1+0.1))*(Assumptions!$C$38-0.15))*Assumptions!$C$40),IF(Assumptions!$C$37=2,(-PMT(Assumptions!$C$40/12,Assumptions!$C$42*12,((Assumptions!$C$15*(1+0.1))*(Assumptions!$C$38-0.15)))*12),IF(7&lt;=Assumptions!$C$41,(((Assumptions!$C$15*(1+0.1))*(Assumptions!$C$38-0.15))*Assumptions!$C$40),(-PMT(Assumptions!$C$40/12,Assumptions!$C$42*12,((Assumptions!$C$15*(1+0.1))*(Assumptions!$C$38-0.15)))*12)))))-Assumptions!$C$58-IF(Assumptions!$C$28=1,IF(7=1,Assumptions!$C$26,0),Assumptions!$C$26/Assumptions!$H$15)-Assumptions!$C$33)+IF(7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$38-0.15)),IF(Assumptions!$C$37=2,(-FV(Assumptions!$C$40/12,Assumptions!$H$15*12,PMT(Assumptions!$C$40/12,Assumptions!$C$42*12,((Assumptions!$C$15*(1+0.1))*(Assumptions!$C$38-0.15))),((Assumptions!$C$15*(1+0.1))*(Assumptions!$C$38-0.15)))),(-FV(Assumptions!$C$40/12,MAX(0,Assumptions!$H$15-Assumptions!$C$41)*12,PMT(Assumptions!$C$40/12,Assumptions!$C$42*12,((Assumptions!$C$15*(1+0.1))*(Assumptions!$C$38-0.15))),((Assumptions!$C$15*(1+0.1)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K89" s="0" t="n">
        <f aca="false">IF(8&gt;Assumptions!$H$15,0,IF('Pro Forma'!K$26="",0,'Pro Forma'!K$26-(IF(Assumptions!$C$37=1,(((Assumptions!$C$15*(1+0.1))*(Assumptions!$C$38-0.15))*Assumptions!$C$40),IF(Assumptions!$C$37=2,(-PMT(Assumptions!$C$40/12,Assumptions!$C$42*12,((Assumptions!$C$15*(1+0.1))*(Assumptions!$C$38-0.15)))*12),IF(8&lt;=Assumptions!$C$41,(((Assumptions!$C$15*(1+0.1))*(Assumptions!$C$38-0.15))*Assumptions!$C$40),(-PMT(Assumptions!$C$40/12,Assumptions!$C$42*12,((Assumptions!$C$15*(1+0.1))*(Assumptions!$C$38-0.15)))*12)))))-Assumptions!$C$58-IF(Assumptions!$C$28=1,IF(8=1,Assumptions!$C$26,0),Assumptions!$C$26/Assumptions!$H$15)-Assumptions!$C$33)+IF(8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$38-0.15)),IF(Assumptions!$C$37=2,(-FV(Assumptions!$C$40/12,Assumptions!$H$15*12,PMT(Assumptions!$C$40/12,Assumptions!$C$42*12,((Assumptions!$C$15*(1+0.1))*(Assumptions!$C$38-0.15))),((Assumptions!$C$15*(1+0.1))*(Assumptions!$C$38-0.15)))),(-FV(Assumptions!$C$40/12,MAX(0,Assumptions!$H$15-Assumptions!$C$41)*12,PMT(Assumptions!$C$40/12,Assumptions!$C$42*12,((Assumptions!$C$15*(1+0.1))*(Assumptions!$C$38-0.15))),((Assumptions!$C$15*(1+0.1)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L89" s="0" t="n">
        <f aca="false">IF(9&gt;Assumptions!$H$15,0,IF('Pro Forma'!L$26="",0,'Pro Forma'!L$26-(IF(Assumptions!$C$37=1,(((Assumptions!$C$15*(1+0.1))*(Assumptions!$C$38-0.15))*Assumptions!$C$40),IF(Assumptions!$C$37=2,(-PMT(Assumptions!$C$40/12,Assumptions!$C$42*12,((Assumptions!$C$15*(1+0.1))*(Assumptions!$C$38-0.15)))*12),IF(9&lt;=Assumptions!$C$41,(((Assumptions!$C$15*(1+0.1))*(Assumptions!$C$38-0.15))*Assumptions!$C$40),(-PMT(Assumptions!$C$40/12,Assumptions!$C$42*12,((Assumptions!$C$15*(1+0.1))*(Assumptions!$C$38-0.15)))*12)))))-Assumptions!$C$58-IF(Assumptions!$C$28=1,IF(9=1,Assumptions!$C$26,0),Assumptions!$C$26/Assumptions!$H$15)-Assumptions!$C$33)+IF(9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$38-0.15)),IF(Assumptions!$C$37=2,(-FV(Assumptions!$C$40/12,Assumptions!$H$15*12,PMT(Assumptions!$C$40/12,Assumptions!$C$42*12,((Assumptions!$C$15*(1+0.1))*(Assumptions!$C$38-0.15))),((Assumptions!$C$15*(1+0.1))*(Assumptions!$C$38-0.15)))),(-FV(Assumptions!$C$40/12,MAX(0,Assumptions!$H$15-Assumptions!$C$41)*12,PMT(Assumptions!$C$40/12,Assumptions!$C$42*12,((Assumptions!$C$15*(1+0.1))*(Assumptions!$C$38-0.15))),((Assumptions!$C$15*(1+0.1)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M89" s="0" t="n">
        <f aca="false">IF(10&gt;Assumptions!$H$15,0,IF('Pro Forma'!M$26="",0,'Pro Forma'!M$26-(IF(Assumptions!$C$37=1,(((Assumptions!$C$15*(1+0.1))*(Assumptions!$C$38-0.15))*Assumptions!$C$40),IF(Assumptions!$C$37=2,(-PMT(Assumptions!$C$40/12,Assumptions!$C$42*12,((Assumptions!$C$15*(1+0.1))*(Assumptions!$C$38-0.15)))*12),IF(10&lt;=Assumptions!$C$41,(((Assumptions!$C$15*(1+0.1))*(Assumptions!$C$38-0.15))*Assumptions!$C$40),(-PMT(Assumptions!$C$40/12,Assumptions!$C$42*12,((Assumptions!$C$15*(1+0.1))*(Assumptions!$C$38-0.15)))*12)))))-Assumptions!$C$58-IF(Assumptions!$C$28=1,IF(10=1,Assumptions!$C$26,0),Assumptions!$C$26/Assumptions!$H$15)-Assumptions!$C$33)+IF(10=Assumptions!$H$15,(IF(Assumptions!$C$22=0,0,CHOOSE(Assumptions!$H$15,'Pro Forma'!D$26,'Pro Forma'!E$26,'Pro Forma'!F$26,'Pro Forma'!G$26,'Pro Forma'!H$26,'Pro Forma'!I$26,'Pro Forma'!J$26,'Pro Forma'!K$26,'Pro Forma'!L$26,'Pro Forma'!M$26)/Assumptions!$C$22)*(1-Assumptions!$C$23)-IF(Assumptions!$C$37=1,((Assumptions!$C$15*(1+0.1))*(Assumptions!$C$38-0.15)),IF(Assumptions!$C$37=2,(-FV(Assumptions!$C$40/12,Assumptions!$H$15*12,PMT(Assumptions!$C$40/12,Assumptions!$C$42*12,((Assumptions!$C$15*(1+0.1))*(Assumptions!$C$38-0.15))),((Assumptions!$C$15*(1+0.1))*(Assumptions!$C$38-0.15)))),(-FV(Assumptions!$C$40/12,MAX(0,Assumptions!$H$15-Assumptions!$C$41)*12,PMT(Assumptions!$C$40/12,Assumptions!$C$42*12,((Assumptions!$C$15*(1+0.1))*(Assumptions!$C$38-0.15))),((Assumptions!$C$15*(1+0.1))*(Assumptions!$C$38-0.15))))))-CHOOSE(Assumptions!$H$15,'Debt Schedule'!C$19,'Debt Schedule'!D$19,'Debt Schedule'!E$19,'Debt Schedule'!F$19,'Debt Schedule'!G$19,'Debt Schedule'!H$19,'Debt Schedule'!I$19,'Debt Schedule'!J$19,'Debt Schedule'!K$19,'Debt Schedule'!L$19)),0))</f>
        <v>0</v>
      </c>
      <c r="N89" s="0" t="n">
        <f aca="false">IFERROR(IRR(C89:M89),0)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sheetData>
    <row r="1" customFormat="false" ht="15" hidden="false" customHeight="true" outlineLevel="0" collapsed="false">
      <c r="A1" s="0" t="s">
        <v>350</v>
      </c>
      <c r="B1" s="0" t="s">
        <v>351</v>
      </c>
      <c r="C1" s="0" t="s">
        <v>352</v>
      </c>
      <c r="D1" s="0" t="s">
        <v>353</v>
      </c>
      <c r="E1" s="0" t="s">
        <v>354</v>
      </c>
      <c r="F1" s="0" t="s">
        <v>355</v>
      </c>
      <c r="G1" s="0" t="s">
        <v>356</v>
      </c>
      <c r="H1" s="0" t="s">
        <v>357</v>
      </c>
      <c r="I1" s="0" t="s">
        <v>358</v>
      </c>
      <c r="J1" s="0" t="s">
        <v>359</v>
      </c>
      <c r="K1" s="0" t="s">
        <v>360</v>
      </c>
      <c r="L1" s="0" t="s">
        <v>361</v>
      </c>
    </row>
    <row r="2" customFormat="false" ht="15" hidden="false" customHeight="true" outlineLevel="0" collapsed="false">
      <c r="A2" s="0" t="s">
        <v>362</v>
      </c>
      <c r="B2" s="0" t="s">
        <v>363</v>
      </c>
      <c r="C2" s="0" t="s">
        <v>364</v>
      </c>
      <c r="D2" s="0" t="s">
        <v>365</v>
      </c>
      <c r="E2" s="102" t="b">
        <f aca="false">TRUE()</f>
        <v>1</v>
      </c>
      <c r="F2" s="0" t="s">
        <v>366</v>
      </c>
      <c r="G2" s="0" t="s">
        <v>367</v>
      </c>
      <c r="H2" s="0" t="s">
        <v>368</v>
      </c>
      <c r="I2" s="0" t="s">
        <v>369</v>
      </c>
      <c r="J2" s="0" t="s">
        <v>370</v>
      </c>
      <c r="K2" s="102" t="b">
        <f aca="false">TRUE()</f>
        <v>1</v>
      </c>
      <c r="L2" s="0" t="s">
        <v>371</v>
      </c>
    </row>
    <row r="3" customFormat="false" ht="15" hidden="false" customHeight="true" outlineLevel="0" collapsed="false">
      <c r="A3" s="0" t="s">
        <v>372</v>
      </c>
      <c r="B3" s="0" t="s">
        <v>373</v>
      </c>
      <c r="C3" s="0" t="s">
        <v>364</v>
      </c>
      <c r="D3" s="0" t="s">
        <v>365</v>
      </c>
      <c r="E3" s="102" t="b">
        <f aca="false">TRUE()</f>
        <v>1</v>
      </c>
      <c r="F3" s="0" t="s">
        <v>374</v>
      </c>
      <c r="G3" s="0" t="s">
        <v>367</v>
      </c>
      <c r="H3" s="0" t="s">
        <v>368</v>
      </c>
      <c r="I3" s="0" t="s">
        <v>369</v>
      </c>
      <c r="J3" s="0" t="s">
        <v>370</v>
      </c>
      <c r="K3" s="102" t="b">
        <f aca="false">TRUE()</f>
        <v>1</v>
      </c>
      <c r="L3" s="0" t="s">
        <v>371</v>
      </c>
    </row>
    <row r="4" customFormat="false" ht="15" hidden="false" customHeight="true" outlineLevel="0" collapsed="false">
      <c r="A4" s="0" t="s">
        <v>375</v>
      </c>
      <c r="B4" s="0" t="s">
        <v>376</v>
      </c>
      <c r="C4" s="0" t="s">
        <v>364</v>
      </c>
      <c r="D4" s="0" t="s">
        <v>377</v>
      </c>
      <c r="E4" s="102" t="b">
        <f aca="false">TRUE()</f>
        <v>1</v>
      </c>
      <c r="F4" s="0" t="s">
        <v>378</v>
      </c>
      <c r="G4" s="0" t="s">
        <v>367</v>
      </c>
      <c r="H4" s="0" t="s">
        <v>368</v>
      </c>
      <c r="I4" s="0" t="s">
        <v>369</v>
      </c>
      <c r="J4" s="0" t="s">
        <v>370</v>
      </c>
      <c r="K4" s="102" t="b">
        <f aca="false">TRUE()</f>
        <v>1</v>
      </c>
      <c r="L4" s="0" t="s">
        <v>371</v>
      </c>
    </row>
    <row r="5" customFormat="false" ht="15" hidden="false" customHeight="true" outlineLevel="0" collapsed="false">
      <c r="A5" s="0" t="s">
        <v>379</v>
      </c>
      <c r="B5" s="0" t="s">
        <v>380</v>
      </c>
      <c r="C5" s="0" t="s">
        <v>381</v>
      </c>
      <c r="D5" s="0" t="s">
        <v>382</v>
      </c>
      <c r="E5" s="102" t="b">
        <f aca="false">TRUE()</f>
        <v>1</v>
      </c>
      <c r="F5" s="0" t="s">
        <v>383</v>
      </c>
      <c r="G5" s="0" t="s">
        <v>367</v>
      </c>
      <c r="H5" s="0" t="s">
        <v>384</v>
      </c>
      <c r="I5" s="0" t="s">
        <v>385</v>
      </c>
      <c r="J5" s="0" t="s">
        <v>386</v>
      </c>
      <c r="K5" s="102" t="b">
        <f aca="false">TRUE()</f>
        <v>1</v>
      </c>
      <c r="L5" s="0" t="s">
        <v>371</v>
      </c>
    </row>
    <row r="6" customFormat="false" ht="15" hidden="false" customHeight="true" outlineLevel="0" collapsed="false">
      <c r="A6" s="0" t="s">
        <v>387</v>
      </c>
      <c r="B6" s="0" t="s">
        <v>388</v>
      </c>
      <c r="C6" s="0" t="s">
        <v>381</v>
      </c>
      <c r="D6" s="0" t="s">
        <v>389</v>
      </c>
      <c r="E6" s="102" t="b">
        <f aca="false">TRUE()</f>
        <v>1</v>
      </c>
      <c r="F6" s="0" t="s">
        <v>390</v>
      </c>
      <c r="G6" s="0" t="s">
        <v>367</v>
      </c>
      <c r="H6" s="0" t="s">
        <v>384</v>
      </c>
      <c r="I6" s="0" t="s">
        <v>385</v>
      </c>
      <c r="J6" s="0" t="s">
        <v>386</v>
      </c>
      <c r="K6" s="102" t="b">
        <f aca="false">TRUE()</f>
        <v>1</v>
      </c>
      <c r="L6" s="0" t="s">
        <v>371</v>
      </c>
    </row>
    <row r="7" customFormat="false" ht="15" hidden="false" customHeight="true" outlineLevel="0" collapsed="false">
      <c r="A7" s="0" t="s">
        <v>391</v>
      </c>
      <c r="B7" s="0" t="s">
        <v>392</v>
      </c>
      <c r="C7" s="0" t="s">
        <v>381</v>
      </c>
      <c r="D7" s="0" t="s">
        <v>389</v>
      </c>
      <c r="E7" s="102" t="b">
        <f aca="false">TRUE()</f>
        <v>1</v>
      </c>
      <c r="F7" s="0" t="s">
        <v>393</v>
      </c>
      <c r="G7" s="0" t="s">
        <v>367</v>
      </c>
      <c r="H7" s="0" t="s">
        <v>384</v>
      </c>
      <c r="I7" s="0" t="s">
        <v>385</v>
      </c>
      <c r="J7" s="0" t="s">
        <v>386</v>
      </c>
      <c r="K7" s="102" t="b">
        <f aca="false">TRUE()</f>
        <v>1</v>
      </c>
      <c r="L7" s="0" t="s">
        <v>371</v>
      </c>
    </row>
    <row r="8" customFormat="false" ht="15" hidden="false" customHeight="true" outlineLevel="0" collapsed="false">
      <c r="A8" s="0" t="s">
        <v>394</v>
      </c>
      <c r="B8" s="0" t="s">
        <v>395</v>
      </c>
      <c r="C8" s="0" t="s">
        <v>381</v>
      </c>
      <c r="D8" s="0" t="s">
        <v>389</v>
      </c>
      <c r="E8" s="102" t="b">
        <f aca="false">TRUE()</f>
        <v>1</v>
      </c>
      <c r="F8" s="0" t="s">
        <v>396</v>
      </c>
      <c r="G8" s="0" t="s">
        <v>367</v>
      </c>
      <c r="H8" s="0" t="s">
        <v>384</v>
      </c>
      <c r="I8" s="0" t="s">
        <v>385</v>
      </c>
      <c r="J8" s="0" t="s">
        <v>386</v>
      </c>
      <c r="K8" s="102" t="b">
        <f aca="false">TRUE()</f>
        <v>1</v>
      </c>
      <c r="L8" s="0" t="s">
        <v>371</v>
      </c>
    </row>
    <row r="9" customFormat="false" ht="15" hidden="false" customHeight="true" outlineLevel="0" collapsed="false">
      <c r="A9" s="0" t="s">
        <v>397</v>
      </c>
      <c r="B9" s="0" t="s">
        <v>398</v>
      </c>
      <c r="C9" s="0" t="s">
        <v>381</v>
      </c>
      <c r="D9" s="0" t="s">
        <v>399</v>
      </c>
      <c r="E9" s="102" t="b">
        <f aca="false">TRUE()</f>
        <v>1</v>
      </c>
      <c r="F9" s="0" t="s">
        <v>400</v>
      </c>
      <c r="G9" s="0" t="s">
        <v>367</v>
      </c>
      <c r="H9" s="0" t="s">
        <v>384</v>
      </c>
      <c r="I9" s="0" t="s">
        <v>385</v>
      </c>
      <c r="J9" s="0" t="s">
        <v>386</v>
      </c>
      <c r="K9" s="102" t="b">
        <f aca="false">TRUE()</f>
        <v>1</v>
      </c>
      <c r="L9" s="0" t="s">
        <v>371</v>
      </c>
    </row>
    <row r="10" customFormat="false" ht="15" hidden="false" customHeight="true" outlineLevel="0" collapsed="false">
      <c r="A10" s="0" t="s">
        <v>401</v>
      </c>
      <c r="B10" s="0" t="s">
        <v>402</v>
      </c>
      <c r="C10" s="0" t="s">
        <v>381</v>
      </c>
      <c r="D10" s="0" t="s">
        <v>382</v>
      </c>
      <c r="E10" s="102" t="b">
        <f aca="false">TRUE()</f>
        <v>1</v>
      </c>
      <c r="F10" s="0" t="s">
        <v>403</v>
      </c>
      <c r="G10" s="0" t="s">
        <v>367</v>
      </c>
      <c r="H10" s="0" t="s">
        <v>384</v>
      </c>
      <c r="I10" s="0" t="s">
        <v>385</v>
      </c>
      <c r="J10" s="0" t="s">
        <v>386</v>
      </c>
      <c r="K10" s="102" t="b">
        <f aca="false">TRUE()</f>
        <v>1</v>
      </c>
      <c r="L10" s="0" t="s">
        <v>371</v>
      </c>
    </row>
    <row r="11" customFormat="false" ht="15" hidden="false" customHeight="true" outlineLevel="0" collapsed="false">
      <c r="A11" s="0" t="s">
        <v>404</v>
      </c>
      <c r="B11" s="0" t="s">
        <v>405</v>
      </c>
      <c r="C11" s="0" t="s">
        <v>381</v>
      </c>
      <c r="D11" s="0" t="s">
        <v>406</v>
      </c>
      <c r="E11" s="102" t="b">
        <f aca="false">TRUE()</f>
        <v>1</v>
      </c>
      <c r="F11" s="0" t="s">
        <v>407</v>
      </c>
      <c r="G11" s="0" t="s">
        <v>367</v>
      </c>
      <c r="H11" s="0" t="s">
        <v>384</v>
      </c>
      <c r="I11" s="0" t="s">
        <v>385</v>
      </c>
      <c r="J11" s="0" t="s">
        <v>386</v>
      </c>
      <c r="K11" s="102" t="b">
        <f aca="false">TRUE()</f>
        <v>1</v>
      </c>
      <c r="L11" s="0" t="s">
        <v>371</v>
      </c>
    </row>
    <row r="12" customFormat="false" ht="15" hidden="false" customHeight="true" outlineLevel="0" collapsed="false">
      <c r="A12" s="0" t="s">
        <v>408</v>
      </c>
      <c r="B12" s="0" t="s">
        <v>409</v>
      </c>
      <c r="C12" s="0" t="s">
        <v>381</v>
      </c>
      <c r="D12" s="0" t="s">
        <v>406</v>
      </c>
      <c r="E12" s="102" t="b">
        <f aca="false">TRUE()</f>
        <v>1</v>
      </c>
      <c r="F12" s="0" t="s">
        <v>410</v>
      </c>
      <c r="G12" s="0" t="s">
        <v>367</v>
      </c>
      <c r="H12" s="0" t="s">
        <v>384</v>
      </c>
      <c r="I12" s="0" t="s">
        <v>385</v>
      </c>
      <c r="J12" s="0" t="s">
        <v>386</v>
      </c>
      <c r="K12" s="102" t="b">
        <f aca="false">TRUE()</f>
        <v>1</v>
      </c>
      <c r="L12" s="0" t="s">
        <v>371</v>
      </c>
    </row>
    <row r="13" customFormat="false" ht="15" hidden="false" customHeight="true" outlineLevel="0" collapsed="false">
      <c r="A13" s="0" t="s">
        <v>411</v>
      </c>
      <c r="B13" s="0" t="s">
        <v>412</v>
      </c>
      <c r="C13" s="0" t="s">
        <v>381</v>
      </c>
      <c r="D13" s="0" t="s">
        <v>406</v>
      </c>
      <c r="E13" s="102" t="b">
        <f aca="false">TRUE()</f>
        <v>1</v>
      </c>
      <c r="F13" s="0" t="s">
        <v>410</v>
      </c>
      <c r="G13" s="0" t="s">
        <v>367</v>
      </c>
      <c r="H13" s="0" t="s">
        <v>384</v>
      </c>
      <c r="I13" s="0" t="s">
        <v>385</v>
      </c>
      <c r="J13" s="0" t="s">
        <v>386</v>
      </c>
      <c r="K13" s="102" t="b">
        <f aca="false">TRUE()</f>
        <v>1</v>
      </c>
      <c r="L13" s="0" t="s">
        <v>371</v>
      </c>
    </row>
    <row r="14" customFormat="false" ht="15" hidden="false" customHeight="true" outlineLevel="0" collapsed="false">
      <c r="A14" s="0" t="s">
        <v>413</v>
      </c>
      <c r="B14" s="0" t="s">
        <v>414</v>
      </c>
      <c r="C14" s="0" t="s">
        <v>381</v>
      </c>
      <c r="D14" s="0" t="s">
        <v>406</v>
      </c>
      <c r="E14" s="102" t="b">
        <f aca="false">TRUE()</f>
        <v>1</v>
      </c>
      <c r="F14" s="0" t="s">
        <v>407</v>
      </c>
      <c r="G14" s="0" t="s">
        <v>367</v>
      </c>
      <c r="H14" s="0" t="s">
        <v>384</v>
      </c>
      <c r="I14" s="0" t="s">
        <v>385</v>
      </c>
      <c r="J14" s="0" t="s">
        <v>386</v>
      </c>
      <c r="K14" s="102" t="b">
        <f aca="false">TRUE()</f>
        <v>1</v>
      </c>
      <c r="L14" s="0" t="s">
        <v>371</v>
      </c>
    </row>
    <row r="15" customFormat="false" ht="15" hidden="false" customHeight="true" outlineLevel="0" collapsed="false">
      <c r="A15" s="0" t="s">
        <v>415</v>
      </c>
      <c r="B15" s="0" t="s">
        <v>416</v>
      </c>
      <c r="C15" s="0" t="s">
        <v>381</v>
      </c>
      <c r="D15" s="0" t="s">
        <v>406</v>
      </c>
      <c r="E15" s="102" t="b">
        <f aca="false">TRUE()</f>
        <v>1</v>
      </c>
      <c r="F15" s="0" t="s">
        <v>417</v>
      </c>
      <c r="G15" s="0" t="s">
        <v>367</v>
      </c>
      <c r="H15" s="0" t="s">
        <v>384</v>
      </c>
      <c r="I15" s="0" t="s">
        <v>385</v>
      </c>
      <c r="J15" s="0" t="s">
        <v>386</v>
      </c>
      <c r="K15" s="102" t="b">
        <f aca="false">TRUE()</f>
        <v>1</v>
      </c>
      <c r="L15" s="0" t="s">
        <v>371</v>
      </c>
    </row>
    <row r="16" customFormat="false" ht="15" hidden="false" customHeight="true" outlineLevel="0" collapsed="false">
      <c r="A16" s="0" t="s">
        <v>418</v>
      </c>
      <c r="B16" s="0" t="s">
        <v>419</v>
      </c>
      <c r="C16" s="0" t="s">
        <v>381</v>
      </c>
      <c r="D16" s="0" t="s">
        <v>406</v>
      </c>
      <c r="E16" s="102" t="b">
        <f aca="false">TRUE()</f>
        <v>1</v>
      </c>
      <c r="F16" s="0" t="s">
        <v>420</v>
      </c>
      <c r="G16" s="0" t="s">
        <v>367</v>
      </c>
      <c r="H16" s="0" t="s">
        <v>384</v>
      </c>
      <c r="I16" s="0" t="s">
        <v>385</v>
      </c>
      <c r="J16" s="0" t="s">
        <v>386</v>
      </c>
      <c r="K16" s="102" t="b">
        <f aca="false">TRUE()</f>
        <v>1</v>
      </c>
      <c r="L16" s="0" t="s">
        <v>371</v>
      </c>
    </row>
    <row r="17" customFormat="false" ht="15" hidden="false" customHeight="true" outlineLevel="0" collapsed="false">
      <c r="A17" s="0" t="s">
        <v>421</v>
      </c>
      <c r="B17" s="0" t="s">
        <v>422</v>
      </c>
      <c r="C17" s="0" t="s">
        <v>381</v>
      </c>
      <c r="D17" s="0" t="s">
        <v>406</v>
      </c>
      <c r="E17" s="102" t="b">
        <f aca="false">TRUE()</f>
        <v>1</v>
      </c>
      <c r="F17" s="0" t="s">
        <v>410</v>
      </c>
      <c r="G17" s="0" t="s">
        <v>367</v>
      </c>
      <c r="H17" s="0" t="s">
        <v>384</v>
      </c>
      <c r="I17" s="0" t="s">
        <v>385</v>
      </c>
      <c r="J17" s="0" t="s">
        <v>386</v>
      </c>
      <c r="K17" s="102" t="b">
        <f aca="false">TRUE()</f>
        <v>1</v>
      </c>
      <c r="L17" s="0" t="s">
        <v>371</v>
      </c>
    </row>
    <row r="18" customFormat="false" ht="15" hidden="false" customHeight="true" outlineLevel="0" collapsed="false">
      <c r="A18" s="0" t="s">
        <v>423</v>
      </c>
      <c r="B18" s="0" t="s">
        <v>424</v>
      </c>
      <c r="C18" s="0" t="s">
        <v>381</v>
      </c>
      <c r="D18" s="0" t="s">
        <v>406</v>
      </c>
      <c r="E18" s="102" t="b">
        <f aca="false">TRUE()</f>
        <v>1</v>
      </c>
      <c r="F18" s="0" t="s">
        <v>425</v>
      </c>
      <c r="G18" s="0" t="s">
        <v>367</v>
      </c>
      <c r="H18" s="0" t="s">
        <v>384</v>
      </c>
      <c r="I18" s="0" t="s">
        <v>385</v>
      </c>
      <c r="J18" s="0" t="s">
        <v>386</v>
      </c>
      <c r="K18" s="102" t="b">
        <f aca="false">TRUE()</f>
        <v>1</v>
      </c>
      <c r="L18" s="0" t="s">
        <v>371</v>
      </c>
    </row>
    <row r="19" customFormat="false" ht="15" hidden="false" customHeight="true" outlineLevel="0" collapsed="false">
      <c r="A19" s="0" t="s">
        <v>426</v>
      </c>
      <c r="B19" s="0" t="s">
        <v>427</v>
      </c>
      <c r="C19" s="0" t="s">
        <v>381</v>
      </c>
      <c r="D19" s="0" t="s">
        <v>406</v>
      </c>
      <c r="E19" s="102" t="b">
        <f aca="false">TRUE()</f>
        <v>1</v>
      </c>
      <c r="F19" s="0" t="s">
        <v>428</v>
      </c>
      <c r="G19" s="0" t="s">
        <v>367</v>
      </c>
      <c r="H19" s="0" t="s">
        <v>384</v>
      </c>
      <c r="I19" s="0" t="s">
        <v>385</v>
      </c>
      <c r="J19" s="0" t="s">
        <v>386</v>
      </c>
      <c r="K19" s="102" t="b">
        <f aca="false">TRUE()</f>
        <v>1</v>
      </c>
      <c r="L19" s="0" t="s">
        <v>371</v>
      </c>
    </row>
    <row r="20" customFormat="false" ht="15" hidden="false" customHeight="true" outlineLevel="0" collapsed="false">
      <c r="A20" s="0" t="s">
        <v>429</v>
      </c>
      <c r="B20" s="0" t="s">
        <v>430</v>
      </c>
      <c r="C20" s="0" t="s">
        <v>381</v>
      </c>
      <c r="D20" s="0" t="s">
        <v>406</v>
      </c>
      <c r="E20" s="102" t="b">
        <f aca="false">TRUE()</f>
        <v>1</v>
      </c>
      <c r="F20" s="0" t="s">
        <v>428</v>
      </c>
      <c r="G20" s="0" t="s">
        <v>367</v>
      </c>
      <c r="H20" s="0" t="s">
        <v>384</v>
      </c>
      <c r="I20" s="0" t="s">
        <v>431</v>
      </c>
      <c r="J20" s="0" t="s">
        <v>432</v>
      </c>
      <c r="K20" s="102" t="b">
        <f aca="false">TRUE()</f>
        <v>1</v>
      </c>
      <c r="L20" s="0" t="s">
        <v>433</v>
      </c>
    </row>
    <row r="21" customFormat="false" ht="15" hidden="false" customHeight="true" outlineLevel="0" collapsed="false">
      <c r="A21" s="0" t="s">
        <v>434</v>
      </c>
      <c r="B21" s="0" t="s">
        <v>435</v>
      </c>
      <c r="C21" s="0" t="s">
        <v>381</v>
      </c>
      <c r="D21" s="0" t="s">
        <v>406</v>
      </c>
      <c r="E21" s="102" t="b">
        <f aca="false">TRUE()</f>
        <v>1</v>
      </c>
      <c r="F21" s="0" t="s">
        <v>407</v>
      </c>
      <c r="G21" s="0" t="s">
        <v>367</v>
      </c>
      <c r="H21" s="0" t="s">
        <v>384</v>
      </c>
      <c r="I21" s="0" t="s">
        <v>431</v>
      </c>
      <c r="J21" s="0" t="s">
        <v>432</v>
      </c>
      <c r="K21" s="102" t="b">
        <f aca="false">TRUE()</f>
        <v>1</v>
      </c>
      <c r="L21" s="0" t="s">
        <v>433</v>
      </c>
    </row>
    <row r="22" customFormat="false" ht="15" hidden="false" customHeight="true" outlineLevel="0" collapsed="false">
      <c r="A22" s="0" t="s">
        <v>436</v>
      </c>
      <c r="B22" s="0" t="s">
        <v>437</v>
      </c>
      <c r="C22" s="0" t="s">
        <v>381</v>
      </c>
      <c r="D22" s="0" t="s">
        <v>406</v>
      </c>
      <c r="E22" s="102" t="b">
        <f aca="false">TRUE()</f>
        <v>1</v>
      </c>
      <c r="F22" s="0" t="s">
        <v>407</v>
      </c>
      <c r="G22" s="0" t="s">
        <v>367</v>
      </c>
      <c r="H22" s="0" t="s">
        <v>384</v>
      </c>
      <c r="I22" s="0" t="s">
        <v>431</v>
      </c>
      <c r="J22" s="0" t="s">
        <v>432</v>
      </c>
      <c r="K22" s="102" t="b">
        <f aca="false">TRUE()</f>
        <v>1</v>
      </c>
      <c r="L22" s="0" t="s">
        <v>433</v>
      </c>
    </row>
    <row r="23" customFormat="false" ht="15" hidden="false" customHeight="true" outlineLevel="0" collapsed="false">
      <c r="A23" s="0" t="s">
        <v>438</v>
      </c>
      <c r="B23" s="0" t="s">
        <v>439</v>
      </c>
      <c r="C23" s="0" t="s">
        <v>381</v>
      </c>
      <c r="D23" s="0" t="s">
        <v>406</v>
      </c>
      <c r="E23" s="102" t="b">
        <f aca="false">TRUE()</f>
        <v>1</v>
      </c>
      <c r="F23" s="0" t="s">
        <v>407</v>
      </c>
      <c r="G23" s="0" t="s">
        <v>367</v>
      </c>
      <c r="H23" s="0" t="s">
        <v>384</v>
      </c>
      <c r="I23" s="0" t="s">
        <v>431</v>
      </c>
      <c r="J23" s="0" t="s">
        <v>432</v>
      </c>
      <c r="K23" s="102" t="b">
        <f aca="false">TRUE()</f>
        <v>1</v>
      </c>
      <c r="L23" s="0" t="s">
        <v>433</v>
      </c>
    </row>
    <row r="24" customFormat="false" ht="15" hidden="false" customHeight="true" outlineLevel="0" collapsed="false">
      <c r="A24" s="0" t="s">
        <v>440</v>
      </c>
      <c r="B24" s="0" t="s">
        <v>441</v>
      </c>
      <c r="C24" s="0" t="s">
        <v>381</v>
      </c>
      <c r="D24" s="0" t="s">
        <v>406</v>
      </c>
      <c r="E24" s="102" t="b">
        <f aca="false">TRUE()</f>
        <v>1</v>
      </c>
      <c r="F24" s="0" t="s">
        <v>407</v>
      </c>
      <c r="G24" s="0" t="s">
        <v>367</v>
      </c>
      <c r="H24" s="0" t="s">
        <v>384</v>
      </c>
      <c r="I24" s="0" t="s">
        <v>431</v>
      </c>
      <c r="J24" s="0" t="s">
        <v>432</v>
      </c>
      <c r="K24" s="102" t="b">
        <f aca="false">TRUE()</f>
        <v>1</v>
      </c>
      <c r="L24" s="0" t="s">
        <v>433</v>
      </c>
    </row>
    <row r="25" customFormat="false" ht="15" hidden="false" customHeight="true" outlineLevel="0" collapsed="false">
      <c r="A25" s="0" t="s">
        <v>442</v>
      </c>
      <c r="B25" s="0" t="s">
        <v>443</v>
      </c>
      <c r="C25" s="0" t="s">
        <v>381</v>
      </c>
      <c r="D25" s="0" t="s">
        <v>406</v>
      </c>
      <c r="E25" s="102" t="b">
        <f aca="false">TRUE()</f>
        <v>1</v>
      </c>
      <c r="F25" s="0" t="s">
        <v>407</v>
      </c>
      <c r="G25" s="0" t="s">
        <v>367</v>
      </c>
      <c r="H25" s="0" t="s">
        <v>384</v>
      </c>
      <c r="I25" s="0" t="s">
        <v>431</v>
      </c>
      <c r="J25" s="0" t="s">
        <v>432</v>
      </c>
      <c r="K25" s="102" t="b">
        <f aca="false">TRUE()</f>
        <v>1</v>
      </c>
      <c r="L25" s="0" t="s">
        <v>433</v>
      </c>
    </row>
    <row r="26" customFormat="false" ht="15" hidden="false" customHeight="true" outlineLevel="0" collapsed="false">
      <c r="A26" s="0" t="s">
        <v>444</v>
      </c>
      <c r="B26" s="0" t="s">
        <v>445</v>
      </c>
      <c r="C26" s="0" t="s">
        <v>381</v>
      </c>
      <c r="D26" s="0" t="s">
        <v>406</v>
      </c>
      <c r="E26" s="102" t="b">
        <f aca="false">TRUE()</f>
        <v>1</v>
      </c>
      <c r="F26" s="0" t="s">
        <v>407</v>
      </c>
      <c r="G26" s="0" t="s">
        <v>367</v>
      </c>
      <c r="H26" s="0" t="s">
        <v>384</v>
      </c>
      <c r="I26" s="0" t="s">
        <v>431</v>
      </c>
      <c r="J26" s="0" t="s">
        <v>432</v>
      </c>
      <c r="K26" s="102" t="b">
        <f aca="false">TRUE()</f>
        <v>1</v>
      </c>
      <c r="L26" s="0" t="s">
        <v>433</v>
      </c>
    </row>
    <row r="27" customFormat="false" ht="15" hidden="false" customHeight="true" outlineLevel="0" collapsed="false">
      <c r="A27" s="0" t="s">
        <v>446</v>
      </c>
      <c r="B27" s="0" t="s">
        <v>447</v>
      </c>
      <c r="C27" s="0" t="s">
        <v>381</v>
      </c>
      <c r="D27" s="0" t="s">
        <v>406</v>
      </c>
      <c r="E27" s="102" t="b">
        <f aca="false">TRUE()</f>
        <v>1</v>
      </c>
      <c r="F27" s="0" t="s">
        <v>407</v>
      </c>
      <c r="G27" s="0" t="s">
        <v>367</v>
      </c>
      <c r="H27" s="0" t="s">
        <v>384</v>
      </c>
      <c r="I27" s="0" t="s">
        <v>431</v>
      </c>
      <c r="J27" s="0" t="s">
        <v>432</v>
      </c>
      <c r="K27" s="102" t="b">
        <f aca="false">TRUE()</f>
        <v>1</v>
      </c>
      <c r="L27" s="0" t="s">
        <v>433</v>
      </c>
    </row>
    <row r="28" customFormat="false" ht="15" hidden="false" customHeight="true" outlineLevel="0" collapsed="false">
      <c r="A28" s="0" t="s">
        <v>448</v>
      </c>
      <c r="B28" s="0" t="s">
        <v>449</v>
      </c>
      <c r="C28" s="0" t="s">
        <v>381</v>
      </c>
      <c r="D28" s="0" t="s">
        <v>406</v>
      </c>
      <c r="E28" s="102" t="b">
        <f aca="false">TRUE()</f>
        <v>1</v>
      </c>
      <c r="F28" s="0" t="s">
        <v>407</v>
      </c>
      <c r="G28" s="0" t="s">
        <v>367</v>
      </c>
      <c r="H28" s="0" t="s">
        <v>384</v>
      </c>
      <c r="I28" s="0" t="s">
        <v>431</v>
      </c>
      <c r="J28" s="0" t="s">
        <v>432</v>
      </c>
      <c r="K28" s="102" t="b">
        <f aca="false">TRUE()</f>
        <v>1</v>
      </c>
      <c r="L28" s="0" t="s">
        <v>433</v>
      </c>
    </row>
    <row r="29" customFormat="false" ht="15" hidden="false" customHeight="true" outlineLevel="0" collapsed="false">
      <c r="A29" s="0" t="s">
        <v>450</v>
      </c>
      <c r="B29" s="0" t="s">
        <v>451</v>
      </c>
      <c r="C29" s="0" t="s">
        <v>381</v>
      </c>
      <c r="D29" s="0" t="s">
        <v>406</v>
      </c>
      <c r="E29" s="102" t="b">
        <f aca="false">TRUE()</f>
        <v>1</v>
      </c>
      <c r="F29" s="0" t="s">
        <v>417</v>
      </c>
      <c r="G29" s="0" t="s">
        <v>367</v>
      </c>
      <c r="H29" s="0" t="s">
        <v>384</v>
      </c>
      <c r="I29" s="0" t="s">
        <v>385</v>
      </c>
      <c r="J29" s="0" t="s">
        <v>386</v>
      </c>
      <c r="K29" s="102" t="b">
        <f aca="false">TRUE()</f>
        <v>1</v>
      </c>
      <c r="L29" s="0" t="s">
        <v>371</v>
      </c>
    </row>
    <row r="30" customFormat="false" ht="15" hidden="false" customHeight="true" outlineLevel="0" collapsed="false">
      <c r="A30" s="0" t="s">
        <v>452</v>
      </c>
      <c r="B30" s="0" t="s">
        <v>453</v>
      </c>
      <c r="C30" s="0" t="s">
        <v>381</v>
      </c>
      <c r="D30" s="0" t="s">
        <v>406</v>
      </c>
      <c r="E30" s="102" t="b">
        <f aca="false">TRUE()</f>
        <v>1</v>
      </c>
      <c r="F30" s="0" t="s">
        <v>417</v>
      </c>
      <c r="G30" s="0" t="s">
        <v>367</v>
      </c>
      <c r="H30" s="0" t="s">
        <v>384</v>
      </c>
      <c r="I30" s="0" t="s">
        <v>431</v>
      </c>
      <c r="J30" s="0" t="s">
        <v>432</v>
      </c>
      <c r="K30" s="102" t="b">
        <f aca="false">TRUE()</f>
        <v>1</v>
      </c>
      <c r="L30" s="0" t="s">
        <v>433</v>
      </c>
    </row>
    <row r="31" customFormat="false" ht="15" hidden="false" customHeight="true" outlineLevel="0" collapsed="false">
      <c r="A31" s="0" t="s">
        <v>454</v>
      </c>
      <c r="B31" s="0" t="s">
        <v>455</v>
      </c>
      <c r="C31" s="0" t="s">
        <v>381</v>
      </c>
      <c r="D31" s="0" t="s">
        <v>406</v>
      </c>
      <c r="E31" s="102" t="b">
        <f aca="false">TRUE()</f>
        <v>1</v>
      </c>
      <c r="F31" s="0" t="s">
        <v>417</v>
      </c>
      <c r="G31" s="0" t="s">
        <v>367</v>
      </c>
      <c r="H31" s="0" t="s">
        <v>384</v>
      </c>
      <c r="I31" s="0" t="s">
        <v>431</v>
      </c>
      <c r="J31" s="0" t="s">
        <v>432</v>
      </c>
      <c r="K31" s="102" t="b">
        <f aca="false">TRUE()</f>
        <v>1</v>
      </c>
      <c r="L31" s="0" t="s">
        <v>433</v>
      </c>
    </row>
    <row r="32" customFormat="false" ht="15" hidden="false" customHeight="true" outlineLevel="0" collapsed="false">
      <c r="A32" s="0" t="s">
        <v>456</v>
      </c>
      <c r="B32" s="0" t="s">
        <v>457</v>
      </c>
      <c r="C32" s="0" t="s">
        <v>381</v>
      </c>
      <c r="D32" s="0" t="s">
        <v>406</v>
      </c>
      <c r="E32" s="102" t="b">
        <f aca="false">TRUE()</f>
        <v>1</v>
      </c>
      <c r="F32" s="0" t="s">
        <v>417</v>
      </c>
      <c r="G32" s="0" t="s">
        <v>367</v>
      </c>
      <c r="H32" s="0" t="s">
        <v>384</v>
      </c>
      <c r="I32" s="0" t="s">
        <v>431</v>
      </c>
      <c r="J32" s="0" t="s">
        <v>432</v>
      </c>
      <c r="K32" s="102" t="b">
        <f aca="false">TRUE()</f>
        <v>1</v>
      </c>
      <c r="L32" s="0" t="s">
        <v>433</v>
      </c>
    </row>
    <row r="33" customFormat="false" ht="15" hidden="false" customHeight="true" outlineLevel="0" collapsed="false">
      <c r="A33" s="0" t="s">
        <v>458</v>
      </c>
      <c r="B33" s="0" t="s">
        <v>459</v>
      </c>
      <c r="C33" s="0" t="s">
        <v>381</v>
      </c>
      <c r="D33" s="0" t="s">
        <v>406</v>
      </c>
      <c r="E33" s="102" t="b">
        <f aca="false">TRUE()</f>
        <v>1</v>
      </c>
      <c r="F33" s="0" t="s">
        <v>417</v>
      </c>
      <c r="G33" s="0" t="s">
        <v>367</v>
      </c>
      <c r="H33" s="0" t="s">
        <v>384</v>
      </c>
      <c r="I33" s="0" t="s">
        <v>431</v>
      </c>
      <c r="J33" s="0" t="s">
        <v>432</v>
      </c>
      <c r="K33" s="102" t="b">
        <f aca="false">TRUE()</f>
        <v>1</v>
      </c>
      <c r="L33" s="0" t="s">
        <v>433</v>
      </c>
    </row>
    <row r="34" customFormat="false" ht="15" hidden="false" customHeight="true" outlineLevel="0" collapsed="false">
      <c r="A34" s="0" t="s">
        <v>460</v>
      </c>
      <c r="B34" s="0" t="s">
        <v>461</v>
      </c>
      <c r="C34" s="0" t="s">
        <v>381</v>
      </c>
      <c r="D34" s="0" t="s">
        <v>406</v>
      </c>
      <c r="E34" s="102" t="b">
        <f aca="false">TRUE()</f>
        <v>1</v>
      </c>
      <c r="F34" s="0" t="s">
        <v>417</v>
      </c>
      <c r="G34" s="0" t="s">
        <v>367</v>
      </c>
      <c r="H34" s="0" t="s">
        <v>384</v>
      </c>
      <c r="I34" s="0" t="s">
        <v>431</v>
      </c>
      <c r="J34" s="0" t="s">
        <v>432</v>
      </c>
      <c r="K34" s="102" t="b">
        <f aca="false">TRUE()</f>
        <v>1</v>
      </c>
      <c r="L34" s="0" t="s">
        <v>433</v>
      </c>
    </row>
    <row r="35" customFormat="false" ht="15" hidden="false" customHeight="true" outlineLevel="0" collapsed="false">
      <c r="A35" s="0" t="s">
        <v>462</v>
      </c>
      <c r="B35" s="0" t="s">
        <v>463</v>
      </c>
      <c r="C35" s="0" t="s">
        <v>381</v>
      </c>
      <c r="D35" s="0" t="s">
        <v>406</v>
      </c>
      <c r="E35" s="102" t="b">
        <f aca="false">TRUE()</f>
        <v>1</v>
      </c>
      <c r="F35" s="0" t="s">
        <v>417</v>
      </c>
      <c r="G35" s="0" t="s">
        <v>367</v>
      </c>
      <c r="H35" s="0" t="s">
        <v>384</v>
      </c>
      <c r="I35" s="0" t="s">
        <v>431</v>
      </c>
      <c r="J35" s="0" t="s">
        <v>432</v>
      </c>
      <c r="K35" s="102" t="b">
        <f aca="false">TRUE()</f>
        <v>1</v>
      </c>
      <c r="L35" s="0" t="s">
        <v>433</v>
      </c>
    </row>
    <row r="36" customFormat="false" ht="15" hidden="false" customHeight="true" outlineLevel="0" collapsed="false">
      <c r="A36" s="0" t="s">
        <v>464</v>
      </c>
      <c r="B36" s="0" t="s">
        <v>465</v>
      </c>
      <c r="C36" s="0" t="s">
        <v>381</v>
      </c>
      <c r="D36" s="0" t="s">
        <v>406</v>
      </c>
      <c r="E36" s="102" t="b">
        <f aca="false">TRUE()</f>
        <v>1</v>
      </c>
      <c r="F36" s="0" t="s">
        <v>417</v>
      </c>
      <c r="G36" s="0" t="s">
        <v>367</v>
      </c>
      <c r="H36" s="0" t="s">
        <v>384</v>
      </c>
      <c r="I36" s="0" t="s">
        <v>431</v>
      </c>
      <c r="J36" s="0" t="s">
        <v>432</v>
      </c>
      <c r="K36" s="102" t="b">
        <f aca="false">TRUE()</f>
        <v>1</v>
      </c>
      <c r="L36" s="0" t="s">
        <v>433</v>
      </c>
    </row>
    <row r="37" customFormat="false" ht="15" hidden="false" customHeight="true" outlineLevel="0" collapsed="false">
      <c r="A37" s="0" t="s">
        <v>466</v>
      </c>
      <c r="B37" s="0" t="s">
        <v>467</v>
      </c>
      <c r="C37" s="0" t="s">
        <v>381</v>
      </c>
      <c r="D37" s="0" t="s">
        <v>406</v>
      </c>
      <c r="E37" s="102" t="b">
        <f aca="false">TRUE()</f>
        <v>1</v>
      </c>
      <c r="F37" s="0" t="s">
        <v>417</v>
      </c>
      <c r="G37" s="0" t="s">
        <v>367</v>
      </c>
      <c r="H37" s="0" t="s">
        <v>384</v>
      </c>
      <c r="I37" s="0" t="s">
        <v>431</v>
      </c>
      <c r="J37" s="0" t="s">
        <v>432</v>
      </c>
      <c r="K37" s="102" t="b">
        <f aca="false">TRUE()</f>
        <v>1</v>
      </c>
      <c r="L37" s="0" t="s">
        <v>433</v>
      </c>
    </row>
    <row r="38" customFormat="false" ht="15" hidden="false" customHeight="true" outlineLevel="0" collapsed="false">
      <c r="A38" s="0" t="s">
        <v>468</v>
      </c>
      <c r="B38" s="0" t="s">
        <v>469</v>
      </c>
      <c r="C38" s="0" t="s">
        <v>381</v>
      </c>
      <c r="D38" s="0" t="s">
        <v>406</v>
      </c>
      <c r="E38" s="102" t="b">
        <f aca="false">TRUE()</f>
        <v>1</v>
      </c>
      <c r="F38" s="0" t="s">
        <v>417</v>
      </c>
      <c r="G38" s="0" t="s">
        <v>367</v>
      </c>
      <c r="H38" s="0" t="s">
        <v>384</v>
      </c>
      <c r="I38" s="0" t="s">
        <v>431</v>
      </c>
      <c r="J38" s="0" t="s">
        <v>432</v>
      </c>
      <c r="K38" s="102" t="b">
        <f aca="false">TRUE()</f>
        <v>1</v>
      </c>
      <c r="L38" s="0" t="s">
        <v>433</v>
      </c>
    </row>
    <row r="39" customFormat="false" ht="15" hidden="false" customHeight="true" outlineLevel="0" collapsed="false">
      <c r="A39" s="0" t="s">
        <v>470</v>
      </c>
      <c r="B39" s="0" t="s">
        <v>471</v>
      </c>
      <c r="C39" s="0" t="s">
        <v>381</v>
      </c>
      <c r="D39" s="0" t="s">
        <v>406</v>
      </c>
      <c r="E39" s="102" t="b">
        <f aca="false">TRUE()</f>
        <v>1</v>
      </c>
      <c r="F39" s="0" t="s">
        <v>425</v>
      </c>
      <c r="G39" s="0" t="s">
        <v>367</v>
      </c>
      <c r="H39" s="0" t="s">
        <v>384</v>
      </c>
      <c r="I39" s="0" t="s">
        <v>385</v>
      </c>
      <c r="J39" s="0" t="s">
        <v>386</v>
      </c>
      <c r="K39" s="102" t="b">
        <f aca="false">TRUE()</f>
        <v>1</v>
      </c>
      <c r="L39" s="0" t="s">
        <v>371</v>
      </c>
    </row>
    <row r="40" customFormat="false" ht="15" hidden="false" customHeight="true" outlineLevel="0" collapsed="false">
      <c r="A40" s="0" t="s">
        <v>472</v>
      </c>
      <c r="B40" s="0" t="s">
        <v>473</v>
      </c>
      <c r="C40" s="0" t="s">
        <v>381</v>
      </c>
      <c r="D40" s="0" t="s">
        <v>406</v>
      </c>
      <c r="E40" s="102" t="b">
        <f aca="false">TRUE()</f>
        <v>1</v>
      </c>
      <c r="F40" s="0" t="s">
        <v>407</v>
      </c>
      <c r="G40" s="0" t="s">
        <v>367</v>
      </c>
      <c r="H40" s="0" t="s">
        <v>384</v>
      </c>
      <c r="I40" s="0" t="s">
        <v>385</v>
      </c>
      <c r="J40" s="0" t="s">
        <v>386</v>
      </c>
      <c r="K40" s="102" t="b">
        <f aca="false">TRUE()</f>
        <v>1</v>
      </c>
      <c r="L40" s="0" t="s">
        <v>371</v>
      </c>
    </row>
    <row r="41" customFormat="false" ht="15" hidden="false" customHeight="true" outlineLevel="0" collapsed="false">
      <c r="A41" s="0" t="s">
        <v>474</v>
      </c>
      <c r="B41" s="0" t="s">
        <v>475</v>
      </c>
      <c r="C41" s="0" t="s">
        <v>381</v>
      </c>
      <c r="D41" s="0" t="s">
        <v>406</v>
      </c>
      <c r="E41" s="102" t="b">
        <f aca="false">TRUE()</f>
        <v>1</v>
      </c>
      <c r="F41" s="0" t="s">
        <v>407</v>
      </c>
      <c r="G41" s="0" t="s">
        <v>367</v>
      </c>
      <c r="H41" s="0" t="s">
        <v>384</v>
      </c>
      <c r="I41" s="0" t="s">
        <v>431</v>
      </c>
      <c r="J41" s="0" t="s">
        <v>432</v>
      </c>
      <c r="K41" s="102" t="b">
        <f aca="false">TRUE()</f>
        <v>1</v>
      </c>
      <c r="L41" s="0" t="s">
        <v>433</v>
      </c>
    </row>
    <row r="42" customFormat="false" ht="15" hidden="false" customHeight="true" outlineLevel="0" collapsed="false">
      <c r="A42" s="0" t="s">
        <v>476</v>
      </c>
      <c r="B42" s="0" t="s">
        <v>477</v>
      </c>
      <c r="C42" s="0" t="s">
        <v>381</v>
      </c>
      <c r="D42" s="0" t="s">
        <v>406</v>
      </c>
      <c r="E42" s="102" t="b">
        <f aca="false">TRUE()</f>
        <v>1</v>
      </c>
      <c r="F42" s="0" t="s">
        <v>407</v>
      </c>
      <c r="G42" s="0" t="s">
        <v>367</v>
      </c>
      <c r="H42" s="0" t="s">
        <v>384</v>
      </c>
      <c r="I42" s="0" t="s">
        <v>431</v>
      </c>
      <c r="J42" s="0" t="s">
        <v>432</v>
      </c>
      <c r="K42" s="102" t="b">
        <f aca="false">TRUE()</f>
        <v>1</v>
      </c>
      <c r="L42" s="0" t="s">
        <v>433</v>
      </c>
    </row>
    <row r="43" customFormat="false" ht="15" hidden="false" customHeight="true" outlineLevel="0" collapsed="false">
      <c r="A43" s="0" t="s">
        <v>478</v>
      </c>
      <c r="B43" s="0" t="s">
        <v>479</v>
      </c>
      <c r="C43" s="0" t="s">
        <v>381</v>
      </c>
      <c r="D43" s="0" t="s">
        <v>406</v>
      </c>
      <c r="E43" s="102" t="b">
        <f aca="false">TRUE()</f>
        <v>1</v>
      </c>
      <c r="F43" s="0" t="s">
        <v>407</v>
      </c>
      <c r="G43" s="0" t="s">
        <v>367</v>
      </c>
      <c r="H43" s="0" t="s">
        <v>384</v>
      </c>
      <c r="I43" s="0" t="s">
        <v>431</v>
      </c>
      <c r="J43" s="0" t="s">
        <v>432</v>
      </c>
      <c r="K43" s="102" t="b">
        <f aca="false">TRUE()</f>
        <v>1</v>
      </c>
      <c r="L43" s="0" t="s">
        <v>433</v>
      </c>
    </row>
    <row r="44" customFormat="false" ht="15" hidden="false" customHeight="true" outlineLevel="0" collapsed="false">
      <c r="A44" s="0" t="s">
        <v>480</v>
      </c>
      <c r="B44" s="0" t="s">
        <v>481</v>
      </c>
      <c r="C44" s="0" t="s">
        <v>381</v>
      </c>
      <c r="D44" s="0" t="s">
        <v>406</v>
      </c>
      <c r="E44" s="102" t="b">
        <f aca="false">TRUE()</f>
        <v>1</v>
      </c>
      <c r="F44" s="0" t="s">
        <v>407</v>
      </c>
      <c r="G44" s="0" t="s">
        <v>367</v>
      </c>
      <c r="H44" s="0" t="s">
        <v>384</v>
      </c>
      <c r="I44" s="0" t="s">
        <v>431</v>
      </c>
      <c r="J44" s="0" t="s">
        <v>432</v>
      </c>
      <c r="K44" s="102" t="b">
        <f aca="false">TRUE()</f>
        <v>1</v>
      </c>
      <c r="L44" s="0" t="s">
        <v>433</v>
      </c>
    </row>
    <row r="45" customFormat="false" ht="15" hidden="false" customHeight="true" outlineLevel="0" collapsed="false">
      <c r="A45" s="0" t="s">
        <v>482</v>
      </c>
      <c r="B45" s="0" t="s">
        <v>483</v>
      </c>
      <c r="C45" s="0" t="s">
        <v>381</v>
      </c>
      <c r="D45" s="0" t="s">
        <v>406</v>
      </c>
      <c r="E45" s="102" t="b">
        <f aca="false">TRUE()</f>
        <v>1</v>
      </c>
      <c r="F45" s="0" t="s">
        <v>407</v>
      </c>
      <c r="G45" s="0" t="s">
        <v>367</v>
      </c>
      <c r="H45" s="0" t="s">
        <v>384</v>
      </c>
      <c r="I45" s="0" t="s">
        <v>431</v>
      </c>
      <c r="J45" s="0" t="s">
        <v>432</v>
      </c>
      <c r="K45" s="102" t="b">
        <f aca="false">TRUE()</f>
        <v>1</v>
      </c>
      <c r="L45" s="0" t="s">
        <v>433</v>
      </c>
    </row>
    <row r="46" customFormat="false" ht="15" hidden="false" customHeight="true" outlineLevel="0" collapsed="false">
      <c r="A46" s="0" t="s">
        <v>484</v>
      </c>
      <c r="B46" s="0" t="s">
        <v>485</v>
      </c>
      <c r="C46" s="0" t="s">
        <v>381</v>
      </c>
      <c r="D46" s="0" t="s">
        <v>406</v>
      </c>
      <c r="E46" s="102" t="b">
        <f aca="false">TRUE()</f>
        <v>1</v>
      </c>
      <c r="F46" s="0" t="s">
        <v>407</v>
      </c>
      <c r="G46" s="0" t="s">
        <v>367</v>
      </c>
      <c r="H46" s="0" t="s">
        <v>384</v>
      </c>
      <c r="I46" s="0" t="s">
        <v>431</v>
      </c>
      <c r="J46" s="0" t="s">
        <v>432</v>
      </c>
      <c r="K46" s="102" t="b">
        <f aca="false">TRUE()</f>
        <v>1</v>
      </c>
      <c r="L46" s="0" t="s">
        <v>433</v>
      </c>
    </row>
    <row r="47" customFormat="false" ht="15" hidden="false" customHeight="true" outlineLevel="0" collapsed="false">
      <c r="A47" s="0" t="s">
        <v>486</v>
      </c>
      <c r="B47" s="0" t="s">
        <v>487</v>
      </c>
      <c r="C47" s="0" t="s">
        <v>381</v>
      </c>
      <c r="D47" s="0" t="s">
        <v>406</v>
      </c>
      <c r="E47" s="102" t="b">
        <f aca="false">TRUE()</f>
        <v>1</v>
      </c>
      <c r="F47" s="0" t="s">
        <v>407</v>
      </c>
      <c r="G47" s="0" t="s">
        <v>367</v>
      </c>
      <c r="H47" s="0" t="s">
        <v>384</v>
      </c>
      <c r="I47" s="0" t="s">
        <v>431</v>
      </c>
      <c r="J47" s="0" t="s">
        <v>432</v>
      </c>
      <c r="K47" s="102" t="b">
        <f aca="false">TRUE()</f>
        <v>1</v>
      </c>
      <c r="L47" s="0" t="s">
        <v>433</v>
      </c>
    </row>
    <row r="48" customFormat="false" ht="15" hidden="false" customHeight="true" outlineLevel="0" collapsed="false">
      <c r="A48" s="0" t="s">
        <v>488</v>
      </c>
      <c r="B48" s="0" t="s">
        <v>489</v>
      </c>
      <c r="C48" s="0" t="s">
        <v>381</v>
      </c>
      <c r="D48" s="0" t="s">
        <v>406</v>
      </c>
      <c r="E48" s="102" t="b">
        <f aca="false">TRUE()</f>
        <v>1</v>
      </c>
      <c r="F48" s="0" t="s">
        <v>407</v>
      </c>
      <c r="G48" s="0" t="s">
        <v>367</v>
      </c>
      <c r="H48" s="0" t="s">
        <v>384</v>
      </c>
      <c r="I48" s="0" t="s">
        <v>431</v>
      </c>
      <c r="J48" s="0" t="s">
        <v>432</v>
      </c>
      <c r="K48" s="102" t="b">
        <f aca="false">TRUE()</f>
        <v>1</v>
      </c>
      <c r="L48" s="0" t="s">
        <v>433</v>
      </c>
    </row>
    <row r="49" customFormat="false" ht="15" hidden="false" customHeight="true" outlineLevel="0" collapsed="false">
      <c r="A49" s="0" t="s">
        <v>490</v>
      </c>
      <c r="B49" s="0" t="s">
        <v>491</v>
      </c>
      <c r="C49" s="0" t="s">
        <v>381</v>
      </c>
      <c r="D49" s="0" t="s">
        <v>406</v>
      </c>
      <c r="E49" s="102" t="b">
        <f aca="false">TRUE()</f>
        <v>1</v>
      </c>
      <c r="F49" s="0" t="s">
        <v>407</v>
      </c>
      <c r="G49" s="0" t="s">
        <v>367</v>
      </c>
      <c r="H49" s="0" t="s">
        <v>384</v>
      </c>
      <c r="I49" s="0" t="s">
        <v>431</v>
      </c>
      <c r="J49" s="0" t="s">
        <v>432</v>
      </c>
      <c r="K49" s="102" t="b">
        <f aca="false">TRUE()</f>
        <v>1</v>
      </c>
      <c r="L49" s="0" t="s">
        <v>433</v>
      </c>
    </row>
    <row r="50" customFormat="false" ht="15" hidden="false" customHeight="true" outlineLevel="0" collapsed="false">
      <c r="A50" s="0" t="s">
        <v>492</v>
      </c>
      <c r="B50" s="0" t="s">
        <v>493</v>
      </c>
      <c r="C50" s="0" t="s">
        <v>381</v>
      </c>
      <c r="D50" s="0" t="s">
        <v>406</v>
      </c>
      <c r="E50" s="102" t="b">
        <f aca="false">TRUE()</f>
        <v>1</v>
      </c>
      <c r="F50" s="0" t="s">
        <v>410</v>
      </c>
      <c r="G50" s="0" t="s">
        <v>367</v>
      </c>
      <c r="H50" s="0" t="s">
        <v>384</v>
      </c>
      <c r="I50" s="0" t="s">
        <v>385</v>
      </c>
      <c r="J50" s="0" t="s">
        <v>386</v>
      </c>
      <c r="K50" s="102" t="b">
        <f aca="false">TRUE()</f>
        <v>1</v>
      </c>
      <c r="L50" s="0" t="s">
        <v>371</v>
      </c>
    </row>
    <row r="51" customFormat="false" ht="15" hidden="false" customHeight="true" outlineLevel="0" collapsed="false">
      <c r="A51" s="0" t="s">
        <v>494</v>
      </c>
      <c r="B51" s="0" t="s">
        <v>495</v>
      </c>
      <c r="C51" s="0" t="s">
        <v>381</v>
      </c>
      <c r="D51" s="0" t="s">
        <v>406</v>
      </c>
      <c r="E51" s="102" t="b">
        <f aca="false">TRUE()</f>
        <v>1</v>
      </c>
      <c r="F51" s="0" t="s">
        <v>410</v>
      </c>
      <c r="G51" s="0" t="s">
        <v>367</v>
      </c>
      <c r="H51" s="0" t="s">
        <v>384</v>
      </c>
      <c r="I51" s="0" t="s">
        <v>431</v>
      </c>
      <c r="J51" s="0" t="s">
        <v>432</v>
      </c>
      <c r="K51" s="102" t="b">
        <f aca="false">TRUE()</f>
        <v>1</v>
      </c>
      <c r="L51" s="0" t="s">
        <v>433</v>
      </c>
    </row>
    <row r="52" customFormat="false" ht="15" hidden="false" customHeight="true" outlineLevel="0" collapsed="false">
      <c r="A52" s="0" t="s">
        <v>496</v>
      </c>
      <c r="B52" s="0" t="s">
        <v>497</v>
      </c>
      <c r="C52" s="0" t="s">
        <v>381</v>
      </c>
      <c r="D52" s="0" t="s">
        <v>406</v>
      </c>
      <c r="E52" s="102" t="b">
        <f aca="false">TRUE()</f>
        <v>1</v>
      </c>
      <c r="F52" s="0" t="s">
        <v>410</v>
      </c>
      <c r="G52" s="0" t="s">
        <v>367</v>
      </c>
      <c r="H52" s="0" t="s">
        <v>384</v>
      </c>
      <c r="I52" s="0" t="s">
        <v>431</v>
      </c>
      <c r="J52" s="0" t="s">
        <v>432</v>
      </c>
      <c r="K52" s="102" t="b">
        <f aca="false">TRUE()</f>
        <v>1</v>
      </c>
      <c r="L52" s="0" t="s">
        <v>433</v>
      </c>
    </row>
    <row r="53" customFormat="false" ht="15" hidden="false" customHeight="true" outlineLevel="0" collapsed="false">
      <c r="A53" s="0" t="s">
        <v>498</v>
      </c>
      <c r="B53" s="0" t="s">
        <v>499</v>
      </c>
      <c r="C53" s="0" t="s">
        <v>381</v>
      </c>
      <c r="D53" s="0" t="s">
        <v>406</v>
      </c>
      <c r="E53" s="102" t="b">
        <f aca="false">TRUE()</f>
        <v>1</v>
      </c>
      <c r="F53" s="0" t="s">
        <v>410</v>
      </c>
      <c r="G53" s="0" t="s">
        <v>367</v>
      </c>
      <c r="H53" s="0" t="s">
        <v>384</v>
      </c>
      <c r="I53" s="0" t="s">
        <v>431</v>
      </c>
      <c r="J53" s="0" t="s">
        <v>432</v>
      </c>
      <c r="K53" s="102" t="b">
        <f aca="false">TRUE()</f>
        <v>1</v>
      </c>
      <c r="L53" s="0" t="s">
        <v>433</v>
      </c>
    </row>
    <row r="54" customFormat="false" ht="15" hidden="false" customHeight="true" outlineLevel="0" collapsed="false">
      <c r="A54" s="0" t="s">
        <v>500</v>
      </c>
      <c r="B54" s="0" t="s">
        <v>501</v>
      </c>
      <c r="C54" s="0" t="s">
        <v>381</v>
      </c>
      <c r="D54" s="0" t="s">
        <v>406</v>
      </c>
      <c r="E54" s="102" t="b">
        <f aca="false">TRUE()</f>
        <v>1</v>
      </c>
      <c r="F54" s="0" t="s">
        <v>410</v>
      </c>
      <c r="G54" s="0" t="s">
        <v>367</v>
      </c>
      <c r="H54" s="0" t="s">
        <v>384</v>
      </c>
      <c r="I54" s="0" t="s">
        <v>431</v>
      </c>
      <c r="J54" s="0" t="s">
        <v>432</v>
      </c>
      <c r="K54" s="102" t="b">
        <f aca="false">TRUE()</f>
        <v>1</v>
      </c>
      <c r="L54" s="0" t="s">
        <v>433</v>
      </c>
    </row>
    <row r="55" customFormat="false" ht="15" hidden="false" customHeight="true" outlineLevel="0" collapsed="false">
      <c r="A55" s="0" t="s">
        <v>502</v>
      </c>
      <c r="B55" s="0" t="s">
        <v>503</v>
      </c>
      <c r="C55" s="0" t="s">
        <v>381</v>
      </c>
      <c r="D55" s="0" t="s">
        <v>406</v>
      </c>
      <c r="E55" s="102" t="b">
        <f aca="false">TRUE()</f>
        <v>1</v>
      </c>
      <c r="F55" s="0" t="s">
        <v>410</v>
      </c>
      <c r="G55" s="0" t="s">
        <v>367</v>
      </c>
      <c r="H55" s="0" t="s">
        <v>384</v>
      </c>
      <c r="I55" s="0" t="s">
        <v>431</v>
      </c>
      <c r="J55" s="0" t="s">
        <v>432</v>
      </c>
      <c r="K55" s="102" t="b">
        <f aca="false">TRUE()</f>
        <v>1</v>
      </c>
      <c r="L55" s="0" t="s">
        <v>433</v>
      </c>
    </row>
    <row r="56" customFormat="false" ht="15" hidden="false" customHeight="true" outlineLevel="0" collapsed="false">
      <c r="A56" s="0" t="s">
        <v>504</v>
      </c>
      <c r="B56" s="0" t="s">
        <v>505</v>
      </c>
      <c r="C56" s="0" t="s">
        <v>381</v>
      </c>
      <c r="D56" s="0" t="s">
        <v>406</v>
      </c>
      <c r="E56" s="102" t="b">
        <f aca="false">TRUE()</f>
        <v>1</v>
      </c>
      <c r="F56" s="0" t="s">
        <v>410</v>
      </c>
      <c r="G56" s="0" t="s">
        <v>367</v>
      </c>
      <c r="H56" s="0" t="s">
        <v>384</v>
      </c>
      <c r="I56" s="0" t="s">
        <v>431</v>
      </c>
      <c r="J56" s="0" t="s">
        <v>432</v>
      </c>
      <c r="K56" s="102" t="b">
        <f aca="false">TRUE()</f>
        <v>1</v>
      </c>
      <c r="L56" s="0" t="s">
        <v>433</v>
      </c>
    </row>
    <row r="57" customFormat="false" ht="15" hidden="false" customHeight="true" outlineLevel="0" collapsed="false">
      <c r="A57" s="0" t="s">
        <v>506</v>
      </c>
      <c r="B57" s="0" t="s">
        <v>507</v>
      </c>
      <c r="C57" s="0" t="s">
        <v>381</v>
      </c>
      <c r="D57" s="0" t="s">
        <v>406</v>
      </c>
      <c r="E57" s="102" t="b">
        <f aca="false">TRUE()</f>
        <v>1</v>
      </c>
      <c r="F57" s="0" t="s">
        <v>410</v>
      </c>
      <c r="G57" s="0" t="s">
        <v>367</v>
      </c>
      <c r="H57" s="0" t="s">
        <v>384</v>
      </c>
      <c r="I57" s="0" t="s">
        <v>431</v>
      </c>
      <c r="J57" s="0" t="s">
        <v>432</v>
      </c>
      <c r="K57" s="102" t="b">
        <f aca="false">TRUE()</f>
        <v>1</v>
      </c>
      <c r="L57" s="0" t="s">
        <v>433</v>
      </c>
    </row>
    <row r="58" customFormat="false" ht="15" hidden="false" customHeight="true" outlineLevel="0" collapsed="false">
      <c r="A58" s="0" t="s">
        <v>508</v>
      </c>
      <c r="B58" s="0" t="s">
        <v>509</v>
      </c>
      <c r="C58" s="0" t="s">
        <v>381</v>
      </c>
      <c r="D58" s="0" t="s">
        <v>406</v>
      </c>
      <c r="E58" s="102" t="b">
        <f aca="false">TRUE()</f>
        <v>1</v>
      </c>
      <c r="F58" s="0" t="s">
        <v>410</v>
      </c>
      <c r="G58" s="0" t="s">
        <v>367</v>
      </c>
      <c r="H58" s="0" t="s">
        <v>384</v>
      </c>
      <c r="I58" s="0" t="s">
        <v>431</v>
      </c>
      <c r="J58" s="0" t="s">
        <v>432</v>
      </c>
      <c r="K58" s="102" t="b">
        <f aca="false">TRUE()</f>
        <v>1</v>
      </c>
      <c r="L58" s="0" t="s">
        <v>433</v>
      </c>
    </row>
    <row r="59" customFormat="false" ht="15" hidden="false" customHeight="true" outlineLevel="0" collapsed="false">
      <c r="A59" s="0" t="s">
        <v>510</v>
      </c>
      <c r="B59" s="0" t="s">
        <v>511</v>
      </c>
      <c r="C59" s="0" t="s">
        <v>381</v>
      </c>
      <c r="D59" s="0" t="s">
        <v>406</v>
      </c>
      <c r="E59" s="102" t="b">
        <f aca="false">TRUE()</f>
        <v>1</v>
      </c>
      <c r="F59" s="0" t="s">
        <v>410</v>
      </c>
      <c r="G59" s="0" t="s">
        <v>367</v>
      </c>
      <c r="H59" s="0" t="s">
        <v>384</v>
      </c>
      <c r="I59" s="0" t="s">
        <v>431</v>
      </c>
      <c r="J59" s="0" t="s">
        <v>432</v>
      </c>
      <c r="K59" s="102" t="b">
        <f aca="false">TRUE()</f>
        <v>1</v>
      </c>
      <c r="L59" s="0" t="s">
        <v>433</v>
      </c>
    </row>
    <row r="60" customFormat="false" ht="15" hidden="false" customHeight="true" outlineLevel="0" collapsed="false">
      <c r="A60" s="0" t="s">
        <v>512</v>
      </c>
      <c r="B60" s="0" t="s">
        <v>513</v>
      </c>
      <c r="C60" s="0" t="s">
        <v>381</v>
      </c>
      <c r="D60" s="0" t="s">
        <v>382</v>
      </c>
      <c r="E60" s="102" t="b">
        <f aca="false">TRUE()</f>
        <v>1</v>
      </c>
      <c r="F60" s="0" t="s">
        <v>514</v>
      </c>
      <c r="G60" s="0" t="s">
        <v>367</v>
      </c>
      <c r="H60" s="0" t="s">
        <v>384</v>
      </c>
      <c r="I60" s="0" t="s">
        <v>385</v>
      </c>
      <c r="J60" s="0" t="s">
        <v>386</v>
      </c>
      <c r="K60" s="102" t="b">
        <f aca="false">TRUE()</f>
        <v>1</v>
      </c>
      <c r="L60" s="0" t="s">
        <v>371</v>
      </c>
    </row>
    <row r="61" customFormat="false" ht="15" hidden="false" customHeight="true" outlineLevel="0" collapsed="false">
      <c r="A61" s="0" t="s">
        <v>515</v>
      </c>
      <c r="B61" s="0" t="s">
        <v>516</v>
      </c>
      <c r="C61" s="0" t="s">
        <v>381</v>
      </c>
      <c r="D61" s="0" t="s">
        <v>399</v>
      </c>
      <c r="E61" s="102" t="b">
        <f aca="false">TRUE()</f>
        <v>1</v>
      </c>
      <c r="F61" s="0" t="s">
        <v>517</v>
      </c>
      <c r="G61" s="0" t="s">
        <v>367</v>
      </c>
      <c r="H61" s="0" t="s">
        <v>384</v>
      </c>
      <c r="I61" s="0" t="s">
        <v>385</v>
      </c>
      <c r="J61" s="0" t="s">
        <v>386</v>
      </c>
      <c r="K61" s="102" t="b">
        <f aca="false">TRUE()</f>
        <v>1</v>
      </c>
      <c r="L61" s="0" t="s">
        <v>371</v>
      </c>
    </row>
    <row r="62" customFormat="false" ht="15" hidden="false" customHeight="true" outlineLevel="0" collapsed="false">
      <c r="A62" s="0" t="s">
        <v>518</v>
      </c>
      <c r="B62" s="0" t="s">
        <v>519</v>
      </c>
      <c r="C62" s="0" t="s">
        <v>381</v>
      </c>
      <c r="D62" s="0" t="s">
        <v>389</v>
      </c>
      <c r="E62" s="102" t="b">
        <f aca="false">TRUE()</f>
        <v>1</v>
      </c>
      <c r="F62" s="0" t="s">
        <v>520</v>
      </c>
      <c r="G62" s="0" t="s">
        <v>367</v>
      </c>
      <c r="H62" s="0" t="s">
        <v>384</v>
      </c>
      <c r="I62" s="0" t="s">
        <v>385</v>
      </c>
      <c r="J62" s="0" t="s">
        <v>386</v>
      </c>
      <c r="K62" s="102" t="b">
        <f aca="false">TRUE()</f>
        <v>1</v>
      </c>
      <c r="L62" s="0" t="s">
        <v>371</v>
      </c>
    </row>
    <row r="63" customFormat="false" ht="15" hidden="false" customHeight="true" outlineLevel="0" collapsed="false">
      <c r="A63" s="0" t="s">
        <v>521</v>
      </c>
      <c r="B63" s="0" t="s">
        <v>522</v>
      </c>
      <c r="C63" s="0" t="s">
        <v>381</v>
      </c>
      <c r="D63" s="0" t="s">
        <v>399</v>
      </c>
      <c r="E63" s="102" t="b">
        <f aca="false">TRUE()</f>
        <v>1</v>
      </c>
      <c r="F63" s="0" t="s">
        <v>523</v>
      </c>
      <c r="G63" s="0" t="s">
        <v>367</v>
      </c>
      <c r="H63" s="0" t="s">
        <v>384</v>
      </c>
      <c r="I63" s="0" t="s">
        <v>385</v>
      </c>
      <c r="J63" s="0" t="s">
        <v>386</v>
      </c>
      <c r="K63" s="102" t="b">
        <f aca="false">TRUE()</f>
        <v>1</v>
      </c>
      <c r="L63" s="0" t="s">
        <v>371</v>
      </c>
    </row>
    <row r="64" customFormat="false" ht="15" hidden="false" customHeight="true" outlineLevel="0" collapsed="false">
      <c r="A64" s="0" t="s">
        <v>524</v>
      </c>
      <c r="B64" s="0" t="s">
        <v>525</v>
      </c>
      <c r="C64" s="0" t="s">
        <v>381</v>
      </c>
      <c r="D64" s="0" t="s">
        <v>406</v>
      </c>
      <c r="E64" s="102" t="b">
        <f aca="false">TRUE()</f>
        <v>1</v>
      </c>
      <c r="F64" s="0" t="s">
        <v>526</v>
      </c>
      <c r="G64" s="0" t="s">
        <v>367</v>
      </c>
      <c r="H64" s="0" t="s">
        <v>384</v>
      </c>
      <c r="I64" s="0" t="s">
        <v>385</v>
      </c>
      <c r="J64" s="0" t="s">
        <v>386</v>
      </c>
      <c r="K64" s="102" t="b">
        <f aca="false">TRUE()</f>
        <v>1</v>
      </c>
      <c r="L64" s="0" t="s">
        <v>371</v>
      </c>
    </row>
    <row r="65" customFormat="false" ht="15" hidden="false" customHeight="true" outlineLevel="0" collapsed="false">
      <c r="A65" s="0" t="s">
        <v>527</v>
      </c>
      <c r="B65" s="0" t="s">
        <v>528</v>
      </c>
      <c r="C65" s="0" t="s">
        <v>381</v>
      </c>
      <c r="D65" s="0" t="s">
        <v>406</v>
      </c>
      <c r="E65" s="102" t="b">
        <f aca="false">TRUE()</f>
        <v>1</v>
      </c>
      <c r="F65" s="0" t="s">
        <v>529</v>
      </c>
      <c r="G65" s="0" t="s">
        <v>367</v>
      </c>
      <c r="H65" s="0" t="s">
        <v>384</v>
      </c>
      <c r="I65" s="0" t="s">
        <v>385</v>
      </c>
      <c r="J65" s="0" t="s">
        <v>386</v>
      </c>
      <c r="K65" s="102" t="b">
        <f aca="false">TRUE()</f>
        <v>1</v>
      </c>
      <c r="L65" s="0" t="s">
        <v>371</v>
      </c>
    </row>
    <row r="66" customFormat="false" ht="15" hidden="false" customHeight="true" outlineLevel="0" collapsed="false">
      <c r="A66" s="0" t="s">
        <v>530</v>
      </c>
      <c r="B66" s="0" t="s">
        <v>531</v>
      </c>
      <c r="C66" s="0" t="s">
        <v>381</v>
      </c>
      <c r="D66" s="0" t="s">
        <v>382</v>
      </c>
      <c r="E66" s="102" t="b">
        <f aca="false">TRUE()</f>
        <v>1</v>
      </c>
      <c r="F66" s="0" t="s">
        <v>403</v>
      </c>
      <c r="G66" s="0" t="s">
        <v>367</v>
      </c>
      <c r="H66" s="0" t="s">
        <v>384</v>
      </c>
      <c r="I66" s="0" t="s">
        <v>385</v>
      </c>
      <c r="J66" s="0" t="s">
        <v>386</v>
      </c>
      <c r="K66" s="102" t="b">
        <f aca="false">TRUE()</f>
        <v>1</v>
      </c>
      <c r="L66" s="0" t="s">
        <v>371</v>
      </c>
    </row>
    <row r="67" customFormat="false" ht="15" hidden="false" customHeight="true" outlineLevel="0" collapsed="false">
      <c r="A67" s="0" t="s">
        <v>532</v>
      </c>
      <c r="B67" s="0" t="s">
        <v>533</v>
      </c>
      <c r="C67" s="0" t="s">
        <v>381</v>
      </c>
      <c r="D67" s="0" t="s">
        <v>399</v>
      </c>
      <c r="E67" s="102" t="b">
        <f aca="false">TRUE()</f>
        <v>1</v>
      </c>
      <c r="F67" s="0" t="s">
        <v>534</v>
      </c>
      <c r="G67" s="0" t="s">
        <v>367</v>
      </c>
      <c r="H67" s="0" t="s">
        <v>384</v>
      </c>
      <c r="I67" s="0" t="s">
        <v>385</v>
      </c>
      <c r="J67" s="0" t="s">
        <v>386</v>
      </c>
      <c r="K67" s="102" t="b">
        <f aca="false">TRUE()</f>
        <v>1</v>
      </c>
      <c r="L67" s="0" t="s">
        <v>371</v>
      </c>
    </row>
    <row r="68" customFormat="false" ht="15" hidden="false" customHeight="true" outlineLevel="0" collapsed="false">
      <c r="A68" s="0" t="s">
        <v>535</v>
      </c>
      <c r="B68" s="0" t="s">
        <v>536</v>
      </c>
      <c r="C68" s="0" t="s">
        <v>381</v>
      </c>
      <c r="D68" s="0" t="s">
        <v>382</v>
      </c>
      <c r="E68" s="102" t="b">
        <f aca="false">TRUE()</f>
        <v>1</v>
      </c>
      <c r="F68" s="0" t="s">
        <v>537</v>
      </c>
      <c r="G68" s="0" t="s">
        <v>367</v>
      </c>
      <c r="H68" s="0" t="s">
        <v>384</v>
      </c>
      <c r="I68" s="0" t="s">
        <v>385</v>
      </c>
      <c r="J68" s="0" t="s">
        <v>386</v>
      </c>
      <c r="K68" s="102" t="b">
        <f aca="false">TRUE()</f>
        <v>1</v>
      </c>
      <c r="L68" s="0" t="s">
        <v>371</v>
      </c>
    </row>
    <row r="69" customFormat="false" ht="15" hidden="false" customHeight="true" outlineLevel="0" collapsed="false">
      <c r="A69" s="0" t="s">
        <v>538</v>
      </c>
      <c r="B69" s="0" t="s">
        <v>539</v>
      </c>
      <c r="C69" s="0" t="s">
        <v>381</v>
      </c>
      <c r="D69" s="0" t="s">
        <v>389</v>
      </c>
      <c r="E69" s="102" t="b">
        <f aca="false">TRUE()</f>
        <v>1</v>
      </c>
      <c r="F69" s="0" t="s">
        <v>540</v>
      </c>
      <c r="G69" s="0" t="s">
        <v>367</v>
      </c>
      <c r="H69" s="0" t="s">
        <v>384</v>
      </c>
      <c r="I69" s="0" t="s">
        <v>385</v>
      </c>
      <c r="J69" s="0" t="s">
        <v>386</v>
      </c>
      <c r="K69" s="102" t="b">
        <f aca="false">TRUE()</f>
        <v>1</v>
      </c>
      <c r="L69" s="0" t="s">
        <v>371</v>
      </c>
    </row>
    <row r="70" customFormat="false" ht="15" hidden="false" customHeight="true" outlineLevel="0" collapsed="false">
      <c r="A70" s="0" t="s">
        <v>541</v>
      </c>
      <c r="B70" s="0" t="s">
        <v>542</v>
      </c>
      <c r="C70" s="0" t="s">
        <v>381</v>
      </c>
      <c r="D70" s="0" t="s">
        <v>382</v>
      </c>
      <c r="E70" s="102" t="b">
        <f aca="false">TRUE()</f>
        <v>1</v>
      </c>
      <c r="F70" s="0" t="s">
        <v>403</v>
      </c>
      <c r="G70" s="0" t="s">
        <v>367</v>
      </c>
      <c r="H70" s="0" t="s">
        <v>384</v>
      </c>
      <c r="I70" s="0" t="s">
        <v>385</v>
      </c>
      <c r="J70" s="0" t="s">
        <v>386</v>
      </c>
      <c r="K70" s="102" t="b">
        <f aca="false">TRUE()</f>
        <v>1</v>
      </c>
      <c r="L70" s="0" t="s">
        <v>371</v>
      </c>
    </row>
    <row r="71" customFormat="false" ht="15" hidden="false" customHeight="true" outlineLevel="0" collapsed="false">
      <c r="A71" s="0" t="s">
        <v>543</v>
      </c>
      <c r="B71" s="0" t="s">
        <v>544</v>
      </c>
      <c r="C71" s="0" t="s">
        <v>381</v>
      </c>
      <c r="D71" s="0" t="s">
        <v>389</v>
      </c>
      <c r="E71" s="102" t="b">
        <f aca="false">TRUE()</f>
        <v>1</v>
      </c>
      <c r="F71" s="0" t="s">
        <v>545</v>
      </c>
      <c r="G71" s="0" t="s">
        <v>367</v>
      </c>
      <c r="H71" s="0" t="s">
        <v>384</v>
      </c>
      <c r="I71" s="0" t="s">
        <v>385</v>
      </c>
      <c r="J71" s="0" t="s">
        <v>386</v>
      </c>
      <c r="K71" s="102" t="b">
        <f aca="false">TRUE()</f>
        <v>1</v>
      </c>
      <c r="L71" s="0" t="s">
        <v>371</v>
      </c>
    </row>
    <row r="72" customFormat="false" ht="15" hidden="false" customHeight="true" outlineLevel="0" collapsed="false">
      <c r="A72" s="0" t="s">
        <v>546</v>
      </c>
      <c r="B72" s="0" t="s">
        <v>547</v>
      </c>
      <c r="C72" s="0" t="s">
        <v>381</v>
      </c>
      <c r="D72" s="0" t="s">
        <v>389</v>
      </c>
      <c r="E72" s="102" t="b">
        <f aca="false">TRUE()</f>
        <v>1</v>
      </c>
      <c r="F72" s="0" t="s">
        <v>548</v>
      </c>
      <c r="G72" s="0" t="s">
        <v>367</v>
      </c>
      <c r="H72" s="0" t="s">
        <v>384</v>
      </c>
      <c r="I72" s="0" t="s">
        <v>385</v>
      </c>
      <c r="J72" s="0" t="s">
        <v>386</v>
      </c>
      <c r="K72" s="102" t="b">
        <f aca="false">TRUE()</f>
        <v>1</v>
      </c>
      <c r="L72" s="0" t="s">
        <v>371</v>
      </c>
    </row>
    <row r="73" customFormat="false" ht="15" hidden="false" customHeight="true" outlineLevel="0" collapsed="false">
      <c r="A73" s="0" t="s">
        <v>549</v>
      </c>
      <c r="B73" s="0" t="s">
        <v>550</v>
      </c>
      <c r="C73" s="0" t="s">
        <v>381</v>
      </c>
      <c r="D73" s="0" t="s">
        <v>389</v>
      </c>
      <c r="E73" s="102" t="b">
        <f aca="false">TRUE()</f>
        <v>1</v>
      </c>
      <c r="F73" s="0" t="s">
        <v>551</v>
      </c>
      <c r="G73" s="0" t="s">
        <v>367</v>
      </c>
      <c r="H73" s="0" t="s">
        <v>384</v>
      </c>
      <c r="I73" s="0" t="s">
        <v>385</v>
      </c>
      <c r="J73" s="0" t="s">
        <v>386</v>
      </c>
      <c r="K73" s="102" t="b">
        <f aca="false">TRUE()</f>
        <v>1</v>
      </c>
      <c r="L73" s="0" t="s">
        <v>371</v>
      </c>
    </row>
    <row r="74" customFormat="false" ht="15" hidden="false" customHeight="true" outlineLevel="0" collapsed="false">
      <c r="A74" s="0" t="s">
        <v>552</v>
      </c>
      <c r="B74" s="0" t="s">
        <v>553</v>
      </c>
      <c r="C74" s="0" t="s">
        <v>381</v>
      </c>
      <c r="D74" s="0" t="s">
        <v>389</v>
      </c>
      <c r="E74" s="102" t="b">
        <f aca="false">TRUE()</f>
        <v>1</v>
      </c>
      <c r="F74" s="0" t="s">
        <v>554</v>
      </c>
      <c r="G74" s="0" t="s">
        <v>367</v>
      </c>
      <c r="H74" s="0" t="s">
        <v>384</v>
      </c>
      <c r="I74" s="0" t="s">
        <v>385</v>
      </c>
      <c r="J74" s="0" t="s">
        <v>386</v>
      </c>
      <c r="K74" s="102" t="b">
        <f aca="false">TRUE()</f>
        <v>1</v>
      </c>
      <c r="L74" s="0" t="s">
        <v>371</v>
      </c>
    </row>
    <row r="75" customFormat="false" ht="15" hidden="false" customHeight="true" outlineLevel="0" collapsed="false">
      <c r="A75" s="0" t="s">
        <v>555</v>
      </c>
      <c r="B75" s="0" t="s">
        <v>556</v>
      </c>
      <c r="C75" s="0" t="s">
        <v>381</v>
      </c>
      <c r="D75" s="0" t="s">
        <v>389</v>
      </c>
      <c r="E75" s="102" t="b">
        <f aca="false">TRUE()</f>
        <v>1</v>
      </c>
      <c r="F75" s="0" t="s">
        <v>557</v>
      </c>
      <c r="G75" s="0" t="s">
        <v>367</v>
      </c>
      <c r="H75" s="0" t="s">
        <v>384</v>
      </c>
      <c r="I75" s="0" t="s">
        <v>385</v>
      </c>
      <c r="J75" s="0" t="s">
        <v>386</v>
      </c>
      <c r="K75" s="102" t="b">
        <f aca="false">TRUE()</f>
        <v>1</v>
      </c>
      <c r="L75" s="0" t="s">
        <v>371</v>
      </c>
    </row>
    <row r="76" customFormat="false" ht="15" hidden="false" customHeight="true" outlineLevel="0" collapsed="false">
      <c r="A76" s="0" t="s">
        <v>558</v>
      </c>
      <c r="B76" s="0" t="s">
        <v>559</v>
      </c>
      <c r="C76" s="0" t="s">
        <v>381</v>
      </c>
      <c r="D76" s="0" t="s">
        <v>389</v>
      </c>
      <c r="E76" s="102" t="b">
        <f aca="false">TRUE()</f>
        <v>1</v>
      </c>
      <c r="F76" s="0" t="s">
        <v>560</v>
      </c>
      <c r="G76" s="0" t="s">
        <v>367</v>
      </c>
      <c r="H76" s="0" t="s">
        <v>384</v>
      </c>
      <c r="I76" s="0" t="s">
        <v>385</v>
      </c>
      <c r="J76" s="0" t="s">
        <v>386</v>
      </c>
      <c r="K76" s="102" t="b">
        <f aca="false">TRUE()</f>
        <v>1</v>
      </c>
      <c r="L76" s="0" t="s">
        <v>371</v>
      </c>
    </row>
    <row r="77" customFormat="false" ht="15" hidden="false" customHeight="true" outlineLevel="0" collapsed="false">
      <c r="A77" s="0" t="s">
        <v>561</v>
      </c>
      <c r="B77" s="0" t="s">
        <v>562</v>
      </c>
      <c r="C77" s="0" t="s">
        <v>381</v>
      </c>
      <c r="D77" s="0" t="s">
        <v>406</v>
      </c>
      <c r="E77" s="102" t="b">
        <f aca="false">TRUE()</f>
        <v>1</v>
      </c>
      <c r="F77" s="0" t="s">
        <v>425</v>
      </c>
      <c r="G77" s="0" t="s">
        <v>367</v>
      </c>
      <c r="H77" s="0" t="s">
        <v>384</v>
      </c>
      <c r="I77" s="0" t="s">
        <v>385</v>
      </c>
      <c r="J77" s="0" t="s">
        <v>386</v>
      </c>
      <c r="K77" s="102" t="b">
        <f aca="false">TRUE()</f>
        <v>1</v>
      </c>
      <c r="L77" s="0" t="s">
        <v>371</v>
      </c>
    </row>
    <row r="78" customFormat="false" ht="15" hidden="false" customHeight="true" outlineLevel="0" collapsed="false">
      <c r="A78" s="0" t="s">
        <v>563</v>
      </c>
      <c r="B78" s="0" t="s">
        <v>564</v>
      </c>
      <c r="C78" s="0" t="s">
        <v>381</v>
      </c>
      <c r="D78" s="0" t="s">
        <v>406</v>
      </c>
      <c r="E78" s="102" t="b">
        <f aca="false">TRUE()</f>
        <v>1</v>
      </c>
      <c r="F78" s="0" t="s">
        <v>425</v>
      </c>
      <c r="G78" s="0" t="s">
        <v>367</v>
      </c>
      <c r="H78" s="0" t="s">
        <v>384</v>
      </c>
      <c r="I78" s="0" t="s">
        <v>385</v>
      </c>
      <c r="J78" s="0" t="s">
        <v>386</v>
      </c>
      <c r="K78" s="102" t="b">
        <f aca="false">TRUE()</f>
        <v>1</v>
      </c>
      <c r="L78" s="0" t="s">
        <v>371</v>
      </c>
    </row>
    <row r="79" customFormat="false" ht="15" hidden="false" customHeight="true" outlineLevel="0" collapsed="false">
      <c r="A79" s="0" t="s">
        <v>565</v>
      </c>
      <c r="B79" s="0" t="s">
        <v>566</v>
      </c>
      <c r="C79" s="0" t="s">
        <v>381</v>
      </c>
      <c r="D79" s="0" t="s">
        <v>406</v>
      </c>
      <c r="E79" s="102" t="b">
        <f aca="false">TRUE()</f>
        <v>1</v>
      </c>
      <c r="F79" s="0" t="s">
        <v>567</v>
      </c>
      <c r="G79" s="0" t="s">
        <v>367</v>
      </c>
      <c r="H79" s="0" t="s">
        <v>384</v>
      </c>
      <c r="I79" s="0" t="s">
        <v>385</v>
      </c>
      <c r="J79" s="0" t="s">
        <v>386</v>
      </c>
      <c r="K79" s="102" t="b">
        <f aca="false">TRUE()</f>
        <v>1</v>
      </c>
      <c r="L79" s="0" t="s">
        <v>371</v>
      </c>
    </row>
    <row r="80" customFormat="false" ht="15" hidden="false" customHeight="true" outlineLevel="0" collapsed="false">
      <c r="A80" s="0" t="s">
        <v>568</v>
      </c>
      <c r="B80" s="0" t="s">
        <v>569</v>
      </c>
      <c r="C80" s="0" t="s">
        <v>381</v>
      </c>
      <c r="D80" s="0" t="s">
        <v>406</v>
      </c>
      <c r="E80" s="102" t="b">
        <f aca="false">TRUE()</f>
        <v>1</v>
      </c>
      <c r="F80" s="0" t="s">
        <v>567</v>
      </c>
      <c r="G80" s="0" t="s">
        <v>367</v>
      </c>
      <c r="H80" s="0" t="s">
        <v>384</v>
      </c>
      <c r="I80" s="0" t="s">
        <v>385</v>
      </c>
      <c r="J80" s="0" t="s">
        <v>386</v>
      </c>
      <c r="K80" s="102" t="b">
        <f aca="false">TRUE()</f>
        <v>1</v>
      </c>
      <c r="L80" s="0" t="s">
        <v>371</v>
      </c>
    </row>
    <row r="81" customFormat="false" ht="15" hidden="false" customHeight="true" outlineLevel="0" collapsed="false">
      <c r="A81" s="0" t="s">
        <v>570</v>
      </c>
      <c r="B81" s="0" t="s">
        <v>571</v>
      </c>
      <c r="C81" s="0" t="s">
        <v>381</v>
      </c>
      <c r="D81" s="0" t="s">
        <v>406</v>
      </c>
      <c r="E81" s="102" t="b">
        <f aca="false">TRUE()</f>
        <v>1</v>
      </c>
      <c r="F81" s="0" t="s">
        <v>567</v>
      </c>
      <c r="G81" s="0" t="s">
        <v>367</v>
      </c>
      <c r="H81" s="0" t="s">
        <v>384</v>
      </c>
      <c r="I81" s="0" t="s">
        <v>385</v>
      </c>
      <c r="J81" s="0" t="s">
        <v>386</v>
      </c>
      <c r="K81" s="102" t="b">
        <f aca="false">TRUE()</f>
        <v>1</v>
      </c>
      <c r="L81" s="0" t="s">
        <v>371</v>
      </c>
    </row>
    <row r="82" customFormat="false" ht="15" hidden="false" customHeight="true" outlineLevel="0" collapsed="false">
      <c r="A82" s="0" t="s">
        <v>572</v>
      </c>
      <c r="B82" s="0" t="s">
        <v>573</v>
      </c>
      <c r="C82" s="0" t="s">
        <v>381</v>
      </c>
      <c r="D82" s="0" t="s">
        <v>406</v>
      </c>
      <c r="E82" s="102" t="b">
        <f aca="false">TRUE()</f>
        <v>1</v>
      </c>
      <c r="F82" s="0" t="s">
        <v>574</v>
      </c>
      <c r="G82" s="0" t="s">
        <v>367</v>
      </c>
      <c r="H82" s="0" t="s">
        <v>384</v>
      </c>
      <c r="I82" s="0" t="s">
        <v>385</v>
      </c>
      <c r="J82" s="0" t="s">
        <v>386</v>
      </c>
      <c r="K82" s="102" t="b">
        <f aca="false">TRUE()</f>
        <v>1</v>
      </c>
      <c r="L82" s="0" t="s">
        <v>371</v>
      </c>
    </row>
    <row r="83" customFormat="false" ht="15" hidden="false" customHeight="true" outlineLevel="0" collapsed="false">
      <c r="A83" s="0" t="s">
        <v>575</v>
      </c>
      <c r="B83" s="0" t="s">
        <v>576</v>
      </c>
      <c r="C83" s="0" t="s">
        <v>381</v>
      </c>
      <c r="D83" s="0" t="s">
        <v>406</v>
      </c>
      <c r="E83" s="102" t="b">
        <f aca="false">TRUE()</f>
        <v>1</v>
      </c>
      <c r="F83" s="0" t="s">
        <v>577</v>
      </c>
      <c r="G83" s="0" t="s">
        <v>367</v>
      </c>
      <c r="H83" s="0" t="s">
        <v>384</v>
      </c>
      <c r="I83" s="0" t="s">
        <v>385</v>
      </c>
      <c r="J83" s="0" t="s">
        <v>386</v>
      </c>
      <c r="K83" s="102" t="b">
        <f aca="false">TRUE()</f>
        <v>1</v>
      </c>
      <c r="L83" s="0" t="s">
        <v>371</v>
      </c>
    </row>
    <row r="84" customFormat="false" ht="15" hidden="false" customHeight="true" outlineLevel="0" collapsed="false">
      <c r="A84" s="0" t="s">
        <v>578</v>
      </c>
      <c r="B84" s="0" t="s">
        <v>579</v>
      </c>
      <c r="C84" s="0" t="s">
        <v>381</v>
      </c>
      <c r="D84" s="0" t="s">
        <v>406</v>
      </c>
      <c r="E84" s="102" t="b">
        <f aca="false">TRUE()</f>
        <v>1</v>
      </c>
      <c r="F84" s="0" t="s">
        <v>580</v>
      </c>
      <c r="G84" s="0" t="s">
        <v>367</v>
      </c>
      <c r="H84" s="0" t="s">
        <v>384</v>
      </c>
      <c r="I84" s="0" t="s">
        <v>385</v>
      </c>
      <c r="J84" s="0" t="s">
        <v>386</v>
      </c>
      <c r="K84" s="102" t="b">
        <f aca="false">TRUE()</f>
        <v>1</v>
      </c>
      <c r="L84" s="0" t="s">
        <v>371</v>
      </c>
    </row>
    <row r="85" customFormat="false" ht="15" hidden="false" customHeight="true" outlineLevel="0" collapsed="false">
      <c r="A85" s="0" t="s">
        <v>581</v>
      </c>
      <c r="B85" s="0" t="s">
        <v>582</v>
      </c>
      <c r="C85" s="0" t="s">
        <v>381</v>
      </c>
      <c r="D85" s="0" t="s">
        <v>406</v>
      </c>
      <c r="E85" s="102" t="b">
        <f aca="false">TRUE()</f>
        <v>1</v>
      </c>
      <c r="F85" s="0" t="s">
        <v>583</v>
      </c>
      <c r="G85" s="0" t="s">
        <v>367</v>
      </c>
      <c r="H85" s="0" t="s">
        <v>384</v>
      </c>
      <c r="I85" s="0" t="s">
        <v>385</v>
      </c>
      <c r="J85" s="0" t="s">
        <v>386</v>
      </c>
      <c r="K85" s="102" t="b">
        <f aca="false">TRUE()</f>
        <v>1</v>
      </c>
      <c r="L85" s="0" t="s">
        <v>371</v>
      </c>
    </row>
    <row r="86" customFormat="false" ht="15" hidden="false" customHeight="true" outlineLevel="0" collapsed="false">
      <c r="A86" s="0" t="s">
        <v>584</v>
      </c>
      <c r="B86" s="0" t="s">
        <v>585</v>
      </c>
      <c r="C86" s="0" t="s">
        <v>381</v>
      </c>
      <c r="D86" s="0" t="s">
        <v>406</v>
      </c>
      <c r="E86" s="102" t="b">
        <f aca="false">TRUE()</f>
        <v>1</v>
      </c>
      <c r="F86" s="0" t="s">
        <v>586</v>
      </c>
      <c r="G86" s="0" t="s">
        <v>367</v>
      </c>
      <c r="H86" s="0" t="s">
        <v>384</v>
      </c>
      <c r="I86" s="0" t="s">
        <v>385</v>
      </c>
      <c r="J86" s="0" t="s">
        <v>386</v>
      </c>
      <c r="K86" s="102" t="b">
        <f aca="false">TRUE()</f>
        <v>1</v>
      </c>
      <c r="L86" s="0" t="s">
        <v>371</v>
      </c>
    </row>
    <row r="87" customFormat="false" ht="15" hidden="false" customHeight="true" outlineLevel="0" collapsed="false">
      <c r="A87" s="0" t="s">
        <v>587</v>
      </c>
      <c r="B87" s="0" t="s">
        <v>588</v>
      </c>
      <c r="C87" s="0" t="s">
        <v>381</v>
      </c>
      <c r="D87" s="0" t="s">
        <v>406</v>
      </c>
      <c r="E87" s="102" t="b">
        <f aca="false">TRUE()</f>
        <v>1</v>
      </c>
      <c r="F87" s="0" t="s">
        <v>589</v>
      </c>
      <c r="G87" s="0" t="s">
        <v>367</v>
      </c>
      <c r="H87" s="0" t="s">
        <v>384</v>
      </c>
      <c r="I87" s="0" t="s">
        <v>385</v>
      </c>
      <c r="J87" s="0" t="s">
        <v>386</v>
      </c>
      <c r="K87" s="102" t="b">
        <f aca="false">TRUE()</f>
        <v>1</v>
      </c>
      <c r="L87" s="0" t="s">
        <v>371</v>
      </c>
    </row>
    <row r="88" customFormat="false" ht="15" hidden="false" customHeight="true" outlineLevel="0" collapsed="false">
      <c r="A88" s="0" t="s">
        <v>590</v>
      </c>
      <c r="B88" s="0" t="s">
        <v>591</v>
      </c>
      <c r="C88" s="0" t="s">
        <v>381</v>
      </c>
      <c r="D88" s="0" t="s">
        <v>406</v>
      </c>
      <c r="E88" s="102" t="b">
        <f aca="false">TRUE()</f>
        <v>1</v>
      </c>
      <c r="F88" s="0" t="s">
        <v>425</v>
      </c>
      <c r="G88" s="0" t="s">
        <v>367</v>
      </c>
      <c r="H88" s="0" t="s">
        <v>384</v>
      </c>
      <c r="I88" s="0" t="s">
        <v>385</v>
      </c>
      <c r="J88" s="0" t="s">
        <v>386</v>
      </c>
      <c r="K88" s="102" t="b">
        <f aca="false">TRUE()</f>
        <v>1</v>
      </c>
      <c r="L88" s="0" t="s">
        <v>371</v>
      </c>
    </row>
    <row r="89" customFormat="false" ht="15" hidden="false" customHeight="true" outlineLevel="0" collapsed="false">
      <c r="A89" s="0" t="s">
        <v>592</v>
      </c>
      <c r="B89" s="0" t="s">
        <v>593</v>
      </c>
      <c r="C89" s="0" t="s">
        <v>381</v>
      </c>
      <c r="D89" s="0" t="s">
        <v>406</v>
      </c>
      <c r="E89" s="102" t="b">
        <f aca="false">TRUE()</f>
        <v>1</v>
      </c>
      <c r="F89" s="0" t="s">
        <v>425</v>
      </c>
      <c r="G89" s="0" t="s">
        <v>367</v>
      </c>
      <c r="H89" s="0" t="s">
        <v>384</v>
      </c>
      <c r="I89" s="0" t="s">
        <v>385</v>
      </c>
      <c r="J89" s="0" t="s">
        <v>386</v>
      </c>
      <c r="K89" s="102" t="b">
        <f aca="false">TRUE()</f>
        <v>1</v>
      </c>
      <c r="L89" s="0" t="s">
        <v>371</v>
      </c>
    </row>
    <row r="90" customFormat="false" ht="15" hidden="false" customHeight="true" outlineLevel="0" collapsed="false">
      <c r="A90" s="0" t="s">
        <v>594</v>
      </c>
      <c r="B90" s="0" t="s">
        <v>595</v>
      </c>
      <c r="C90" s="0" t="s">
        <v>381</v>
      </c>
      <c r="D90" s="0" t="s">
        <v>406</v>
      </c>
      <c r="E90" s="102" t="b">
        <f aca="false">TRUE()</f>
        <v>1</v>
      </c>
      <c r="F90" s="0" t="s">
        <v>425</v>
      </c>
      <c r="G90" s="0" t="s">
        <v>367</v>
      </c>
      <c r="H90" s="0" t="s">
        <v>384</v>
      </c>
      <c r="I90" s="0" t="s">
        <v>385</v>
      </c>
      <c r="J90" s="0" t="s">
        <v>386</v>
      </c>
      <c r="K90" s="102" t="b">
        <f aca="false">TRUE()</f>
        <v>1</v>
      </c>
      <c r="L90" s="0" t="s">
        <v>371</v>
      </c>
    </row>
    <row r="91" customFormat="false" ht="15" hidden="false" customHeight="true" outlineLevel="0" collapsed="false">
      <c r="A91" s="0" t="s">
        <v>596</v>
      </c>
      <c r="B91" s="0" t="s">
        <v>597</v>
      </c>
      <c r="C91" s="0" t="s">
        <v>381</v>
      </c>
      <c r="D91" s="0" t="s">
        <v>406</v>
      </c>
      <c r="E91" s="102" t="b">
        <f aca="false">TRUE()</f>
        <v>1</v>
      </c>
      <c r="F91" s="0" t="s">
        <v>425</v>
      </c>
      <c r="G91" s="0" t="s">
        <v>367</v>
      </c>
      <c r="H91" s="0" t="s">
        <v>384</v>
      </c>
      <c r="I91" s="0" t="s">
        <v>385</v>
      </c>
      <c r="J91" s="0" t="s">
        <v>386</v>
      </c>
      <c r="K91" s="102" t="b">
        <f aca="false">TRUE()</f>
        <v>1</v>
      </c>
      <c r="L91" s="0" t="s">
        <v>371</v>
      </c>
    </row>
    <row r="92" customFormat="false" ht="15" hidden="false" customHeight="true" outlineLevel="0" collapsed="false">
      <c r="A92" s="0" t="s">
        <v>598</v>
      </c>
      <c r="B92" s="0" t="s">
        <v>599</v>
      </c>
      <c r="C92" s="0" t="s">
        <v>381</v>
      </c>
      <c r="D92" s="0" t="s">
        <v>406</v>
      </c>
      <c r="E92" s="102" t="b">
        <f aca="false">TRUE()</f>
        <v>1</v>
      </c>
      <c r="F92" s="0" t="s">
        <v>425</v>
      </c>
      <c r="G92" s="0" t="s">
        <v>367</v>
      </c>
      <c r="H92" s="0" t="s">
        <v>384</v>
      </c>
      <c r="I92" s="0" t="s">
        <v>385</v>
      </c>
      <c r="J92" s="0" t="s">
        <v>386</v>
      </c>
      <c r="K92" s="102" t="b">
        <f aca="false">TRUE()</f>
        <v>1</v>
      </c>
      <c r="L92" s="0" t="s">
        <v>371</v>
      </c>
    </row>
    <row r="93" customFormat="false" ht="15" hidden="false" customHeight="true" outlineLevel="0" collapsed="false">
      <c r="A93" s="0" t="s">
        <v>600</v>
      </c>
      <c r="B93" s="0" t="s">
        <v>601</v>
      </c>
      <c r="C93" s="0" t="s">
        <v>381</v>
      </c>
      <c r="D93" s="0" t="s">
        <v>406</v>
      </c>
      <c r="E93" s="102" t="b">
        <f aca="false">TRUE()</f>
        <v>1</v>
      </c>
      <c r="F93" s="0" t="s">
        <v>425</v>
      </c>
      <c r="G93" s="0" t="s">
        <v>367</v>
      </c>
      <c r="H93" s="0" t="s">
        <v>384</v>
      </c>
      <c r="I93" s="0" t="s">
        <v>385</v>
      </c>
      <c r="J93" s="0" t="s">
        <v>386</v>
      </c>
      <c r="K93" s="102" t="b">
        <f aca="false">TRUE()</f>
        <v>1</v>
      </c>
      <c r="L93" s="0" t="s">
        <v>371</v>
      </c>
    </row>
    <row r="94" customFormat="false" ht="15" hidden="false" customHeight="true" outlineLevel="0" collapsed="false">
      <c r="A94" s="0" t="s">
        <v>602</v>
      </c>
      <c r="B94" s="0" t="s">
        <v>603</v>
      </c>
      <c r="C94" s="0" t="s">
        <v>381</v>
      </c>
      <c r="D94" s="0" t="s">
        <v>406</v>
      </c>
      <c r="E94" s="102" t="b">
        <f aca="false">TRUE()</f>
        <v>1</v>
      </c>
      <c r="F94" s="0" t="s">
        <v>425</v>
      </c>
      <c r="G94" s="0" t="s">
        <v>367</v>
      </c>
      <c r="H94" s="0" t="s">
        <v>384</v>
      </c>
      <c r="I94" s="0" t="s">
        <v>385</v>
      </c>
      <c r="J94" s="0" t="s">
        <v>386</v>
      </c>
      <c r="K94" s="102" t="b">
        <f aca="false">TRUE()</f>
        <v>1</v>
      </c>
      <c r="L94" s="0" t="s">
        <v>371</v>
      </c>
    </row>
    <row r="95" customFormat="false" ht="15" hidden="false" customHeight="true" outlineLevel="0" collapsed="false">
      <c r="A95" s="0" t="s">
        <v>604</v>
      </c>
      <c r="B95" s="0" t="s">
        <v>605</v>
      </c>
      <c r="C95" s="0" t="s">
        <v>381</v>
      </c>
      <c r="D95" s="0" t="s">
        <v>406</v>
      </c>
      <c r="E95" s="102" t="b">
        <f aca="false">TRUE()</f>
        <v>1</v>
      </c>
      <c r="F95" s="0" t="s">
        <v>425</v>
      </c>
      <c r="G95" s="0" t="s">
        <v>367</v>
      </c>
      <c r="H95" s="0" t="s">
        <v>384</v>
      </c>
      <c r="I95" s="0" t="s">
        <v>385</v>
      </c>
      <c r="J95" s="0" t="s">
        <v>386</v>
      </c>
      <c r="K95" s="102" t="b">
        <f aca="false">TRUE()</f>
        <v>1</v>
      </c>
      <c r="L95" s="0" t="s">
        <v>371</v>
      </c>
    </row>
    <row r="96" customFormat="false" ht="15" hidden="false" customHeight="true" outlineLevel="0" collapsed="false">
      <c r="A96" s="0" t="s">
        <v>606</v>
      </c>
      <c r="B96" s="0" t="s">
        <v>607</v>
      </c>
      <c r="C96" s="0" t="s">
        <v>381</v>
      </c>
      <c r="D96" s="0" t="s">
        <v>406</v>
      </c>
      <c r="E96" s="102" t="b">
        <f aca="false">TRUE()</f>
        <v>1</v>
      </c>
      <c r="F96" s="0" t="s">
        <v>586</v>
      </c>
      <c r="G96" s="0" t="s">
        <v>367</v>
      </c>
      <c r="H96" s="0" t="s">
        <v>384</v>
      </c>
      <c r="I96" s="0" t="s">
        <v>431</v>
      </c>
      <c r="J96" s="0" t="s">
        <v>432</v>
      </c>
      <c r="K96" s="102" t="b">
        <f aca="false">TRUE()</f>
        <v>1</v>
      </c>
      <c r="L96" s="0" t="s">
        <v>433</v>
      </c>
    </row>
    <row r="97" customFormat="false" ht="15" hidden="false" customHeight="true" outlineLevel="0" collapsed="false">
      <c r="A97" s="0" t="s">
        <v>608</v>
      </c>
      <c r="B97" s="0" t="s">
        <v>609</v>
      </c>
      <c r="C97" s="0" t="s">
        <v>381</v>
      </c>
      <c r="D97" s="0" t="s">
        <v>406</v>
      </c>
      <c r="E97" s="102" t="b">
        <f aca="false">TRUE()</f>
        <v>1</v>
      </c>
      <c r="F97" s="0" t="s">
        <v>610</v>
      </c>
      <c r="G97" s="0" t="s">
        <v>367</v>
      </c>
      <c r="H97" s="0" t="s">
        <v>384</v>
      </c>
      <c r="I97" s="0" t="s">
        <v>431</v>
      </c>
      <c r="J97" s="0" t="s">
        <v>432</v>
      </c>
      <c r="K97" s="102" t="b">
        <f aca="false">TRUE()</f>
        <v>1</v>
      </c>
      <c r="L97" s="0" t="s">
        <v>433</v>
      </c>
    </row>
    <row r="98" customFormat="false" ht="15" hidden="false" customHeight="true" outlineLevel="0" collapsed="false">
      <c r="A98" s="0" t="s">
        <v>611</v>
      </c>
      <c r="B98" s="0" t="s">
        <v>612</v>
      </c>
      <c r="C98" s="0" t="s">
        <v>381</v>
      </c>
      <c r="D98" s="0" t="s">
        <v>406</v>
      </c>
      <c r="E98" s="102" t="b">
        <f aca="false">TRUE()</f>
        <v>1</v>
      </c>
      <c r="F98" s="0" t="s">
        <v>613</v>
      </c>
      <c r="G98" s="0" t="s">
        <v>367</v>
      </c>
      <c r="H98" s="0" t="s">
        <v>384</v>
      </c>
      <c r="I98" s="0" t="s">
        <v>431</v>
      </c>
      <c r="J98" s="0" t="s">
        <v>432</v>
      </c>
      <c r="K98" s="102" t="b">
        <f aca="false">TRUE()</f>
        <v>1</v>
      </c>
      <c r="L98" s="0" t="s">
        <v>433</v>
      </c>
    </row>
    <row r="99" customFormat="false" ht="15" hidden="false" customHeight="true" outlineLevel="0" collapsed="false">
      <c r="A99" s="0" t="s">
        <v>614</v>
      </c>
      <c r="B99" s="0" t="s">
        <v>615</v>
      </c>
      <c r="C99" s="0" t="s">
        <v>381</v>
      </c>
      <c r="D99" s="0" t="s">
        <v>406</v>
      </c>
      <c r="E99" s="102" t="b">
        <f aca="false">TRUE()</f>
        <v>1</v>
      </c>
      <c r="F99" s="0" t="s">
        <v>616</v>
      </c>
      <c r="G99" s="0" t="s">
        <v>367</v>
      </c>
      <c r="H99" s="0" t="s">
        <v>384</v>
      </c>
      <c r="I99" s="0" t="s">
        <v>431</v>
      </c>
      <c r="J99" s="0" t="s">
        <v>432</v>
      </c>
      <c r="K99" s="102" t="b">
        <f aca="false">TRUE()</f>
        <v>1</v>
      </c>
      <c r="L99" s="0" t="s">
        <v>433</v>
      </c>
    </row>
    <row r="100" customFormat="false" ht="15" hidden="false" customHeight="true" outlineLevel="0" collapsed="false">
      <c r="A100" s="0" t="s">
        <v>617</v>
      </c>
      <c r="B100" s="0" t="s">
        <v>618</v>
      </c>
      <c r="C100" s="0" t="s">
        <v>381</v>
      </c>
      <c r="D100" s="0" t="s">
        <v>406</v>
      </c>
      <c r="E100" s="102" t="b">
        <f aca="false">TRUE()</f>
        <v>1</v>
      </c>
      <c r="F100" s="0" t="s">
        <v>619</v>
      </c>
      <c r="G100" s="0" t="s">
        <v>367</v>
      </c>
      <c r="H100" s="0" t="s">
        <v>384</v>
      </c>
      <c r="I100" s="0" t="s">
        <v>431</v>
      </c>
      <c r="J100" s="0" t="s">
        <v>432</v>
      </c>
      <c r="K100" s="102" t="b">
        <f aca="false">TRUE()</f>
        <v>1</v>
      </c>
      <c r="L100" s="0" t="s">
        <v>433</v>
      </c>
    </row>
    <row r="101" customFormat="false" ht="15" hidden="false" customHeight="true" outlineLevel="0" collapsed="false">
      <c r="A101" s="0" t="s">
        <v>620</v>
      </c>
      <c r="B101" s="0" t="s">
        <v>621</v>
      </c>
      <c r="C101" s="0" t="s">
        <v>381</v>
      </c>
      <c r="D101" s="0" t="s">
        <v>382</v>
      </c>
      <c r="E101" s="102" t="b">
        <f aca="false">TRUE()</f>
        <v>1</v>
      </c>
      <c r="F101" s="0" t="s">
        <v>622</v>
      </c>
      <c r="G101" s="0" t="s">
        <v>367</v>
      </c>
      <c r="H101" s="0" t="s">
        <v>384</v>
      </c>
      <c r="I101" s="0" t="s">
        <v>431</v>
      </c>
      <c r="J101" s="0" t="s">
        <v>623</v>
      </c>
      <c r="K101" s="102" t="b">
        <f aca="false">TRUE()</f>
        <v>1</v>
      </c>
      <c r="L101" s="0" t="s">
        <v>433</v>
      </c>
    </row>
    <row r="102" customFormat="false" ht="15" hidden="false" customHeight="true" outlineLevel="0" collapsed="false">
      <c r="A102" s="0" t="s">
        <v>624</v>
      </c>
      <c r="B102" s="0" t="s">
        <v>625</v>
      </c>
      <c r="C102" s="0" t="s">
        <v>381</v>
      </c>
      <c r="D102" s="0" t="s">
        <v>382</v>
      </c>
      <c r="E102" s="102" t="b">
        <f aca="false">TRUE()</f>
        <v>1</v>
      </c>
      <c r="F102" s="0" t="s">
        <v>626</v>
      </c>
      <c r="G102" s="0" t="s">
        <v>367</v>
      </c>
      <c r="H102" s="0" t="s">
        <v>384</v>
      </c>
      <c r="I102" s="0" t="s">
        <v>431</v>
      </c>
      <c r="J102" s="0" t="s">
        <v>623</v>
      </c>
      <c r="K102" s="102" t="b">
        <f aca="false">TRUE()</f>
        <v>1</v>
      </c>
      <c r="L102" s="0" t="s">
        <v>433</v>
      </c>
    </row>
    <row r="103" customFormat="false" ht="15" hidden="false" customHeight="true" outlineLevel="0" collapsed="false">
      <c r="A103" s="0" t="s">
        <v>627</v>
      </c>
      <c r="B103" s="0" t="s">
        <v>628</v>
      </c>
      <c r="C103" s="0" t="s">
        <v>381</v>
      </c>
      <c r="D103" s="0" t="s">
        <v>382</v>
      </c>
      <c r="E103" s="102" t="b">
        <f aca="false">TRUE()</f>
        <v>1</v>
      </c>
      <c r="F103" s="0" t="s">
        <v>629</v>
      </c>
      <c r="G103" s="0" t="s">
        <v>367</v>
      </c>
      <c r="H103" s="0" t="s">
        <v>384</v>
      </c>
      <c r="I103" s="0" t="s">
        <v>431</v>
      </c>
      <c r="J103" s="0" t="s">
        <v>623</v>
      </c>
      <c r="K103" s="102" t="b">
        <f aca="false">TRUE()</f>
        <v>1</v>
      </c>
      <c r="L103" s="0" t="s">
        <v>433</v>
      </c>
    </row>
    <row r="104" customFormat="false" ht="15" hidden="false" customHeight="true" outlineLevel="0" collapsed="false">
      <c r="A104" s="0" t="s">
        <v>630</v>
      </c>
      <c r="B104" s="0" t="s">
        <v>631</v>
      </c>
      <c r="C104" s="0" t="s">
        <v>381</v>
      </c>
      <c r="D104" s="0" t="s">
        <v>382</v>
      </c>
      <c r="E104" s="102" t="b">
        <f aca="false">TRUE()</f>
        <v>1</v>
      </c>
      <c r="F104" s="0" t="s">
        <v>632</v>
      </c>
      <c r="G104" s="0" t="s">
        <v>367</v>
      </c>
      <c r="H104" s="0" t="s">
        <v>384</v>
      </c>
      <c r="I104" s="0" t="s">
        <v>431</v>
      </c>
      <c r="J104" s="0" t="s">
        <v>623</v>
      </c>
      <c r="K104" s="102" t="b">
        <f aca="false">TRUE()</f>
        <v>1</v>
      </c>
      <c r="L104" s="0" t="s">
        <v>433</v>
      </c>
    </row>
    <row r="105" customFormat="false" ht="15" hidden="false" customHeight="true" outlineLevel="0" collapsed="false">
      <c r="A105" s="0" t="s">
        <v>633</v>
      </c>
      <c r="B105" s="0" t="s">
        <v>634</v>
      </c>
      <c r="C105" s="0" t="s">
        <v>381</v>
      </c>
      <c r="D105" s="0" t="s">
        <v>382</v>
      </c>
      <c r="E105" s="102" t="b">
        <f aca="false">TRUE()</f>
        <v>1</v>
      </c>
      <c r="F105" s="0" t="s">
        <v>635</v>
      </c>
      <c r="G105" s="0" t="s">
        <v>367</v>
      </c>
      <c r="H105" s="0" t="s">
        <v>384</v>
      </c>
      <c r="I105" s="0" t="s">
        <v>431</v>
      </c>
      <c r="J105" s="0" t="s">
        <v>623</v>
      </c>
      <c r="K105" s="102" t="b">
        <f aca="false">TRUE()</f>
        <v>1</v>
      </c>
      <c r="L105" s="0" t="s">
        <v>433</v>
      </c>
    </row>
    <row r="106" customFormat="false" ht="15" hidden="false" customHeight="true" outlineLevel="0" collapsed="false">
      <c r="A106" s="0" t="s">
        <v>636</v>
      </c>
      <c r="B106" s="0" t="s">
        <v>637</v>
      </c>
      <c r="C106" s="0" t="s">
        <v>381</v>
      </c>
      <c r="D106" s="0" t="s">
        <v>389</v>
      </c>
      <c r="E106" s="102" t="b">
        <f aca="false">TRUE()</f>
        <v>1</v>
      </c>
      <c r="F106" s="0" t="s">
        <v>638</v>
      </c>
      <c r="G106" s="0" t="s">
        <v>367</v>
      </c>
      <c r="H106" s="0" t="s">
        <v>384</v>
      </c>
      <c r="I106" s="0" t="s">
        <v>431</v>
      </c>
      <c r="J106" s="0" t="s">
        <v>639</v>
      </c>
      <c r="K106" s="102" t="b">
        <f aca="false">TRUE()</f>
        <v>1</v>
      </c>
      <c r="L106" s="0" t="s">
        <v>433</v>
      </c>
    </row>
    <row r="107" customFormat="false" ht="15" hidden="false" customHeight="true" outlineLevel="0" collapsed="false">
      <c r="A107" s="0" t="s">
        <v>640</v>
      </c>
      <c r="B107" s="0" t="s">
        <v>641</v>
      </c>
      <c r="C107" s="0" t="s">
        <v>381</v>
      </c>
      <c r="D107" s="0" t="s">
        <v>389</v>
      </c>
      <c r="E107" s="102" t="b">
        <f aca="false">TRUE()</f>
        <v>1</v>
      </c>
      <c r="F107" s="0" t="s">
        <v>642</v>
      </c>
      <c r="G107" s="0" t="s">
        <v>367</v>
      </c>
      <c r="H107" s="0" t="s">
        <v>384</v>
      </c>
      <c r="I107" s="0" t="s">
        <v>431</v>
      </c>
      <c r="J107" s="0" t="s">
        <v>639</v>
      </c>
      <c r="K107" s="102" t="b">
        <f aca="false">TRUE()</f>
        <v>1</v>
      </c>
      <c r="L107" s="0" t="s">
        <v>433</v>
      </c>
    </row>
    <row r="108" customFormat="false" ht="15" hidden="false" customHeight="true" outlineLevel="0" collapsed="false">
      <c r="A108" s="0" t="s">
        <v>643</v>
      </c>
      <c r="B108" s="0" t="s">
        <v>644</v>
      </c>
      <c r="C108" s="0" t="s">
        <v>381</v>
      </c>
      <c r="D108" s="0" t="s">
        <v>389</v>
      </c>
      <c r="E108" s="102" t="b">
        <f aca="false">TRUE()</f>
        <v>1</v>
      </c>
      <c r="F108" s="0" t="s">
        <v>645</v>
      </c>
      <c r="G108" s="0" t="s">
        <v>367</v>
      </c>
      <c r="H108" s="0" t="s">
        <v>384</v>
      </c>
      <c r="I108" s="0" t="s">
        <v>431</v>
      </c>
      <c r="J108" s="0" t="s">
        <v>639</v>
      </c>
      <c r="K108" s="102" t="b">
        <f aca="false">TRUE()</f>
        <v>1</v>
      </c>
      <c r="L108" s="0" t="s">
        <v>433</v>
      </c>
    </row>
    <row r="109" customFormat="false" ht="15" hidden="false" customHeight="true" outlineLevel="0" collapsed="false">
      <c r="A109" s="0" t="s">
        <v>646</v>
      </c>
      <c r="B109" s="0" t="s">
        <v>647</v>
      </c>
      <c r="C109" s="0" t="s">
        <v>381</v>
      </c>
      <c r="D109" s="0" t="s">
        <v>389</v>
      </c>
      <c r="E109" s="102" t="b">
        <f aca="false">TRUE()</f>
        <v>1</v>
      </c>
      <c r="F109" s="0" t="s">
        <v>648</v>
      </c>
      <c r="G109" s="0" t="s">
        <v>367</v>
      </c>
      <c r="H109" s="0" t="s">
        <v>384</v>
      </c>
      <c r="I109" s="0" t="s">
        <v>431</v>
      </c>
      <c r="J109" s="0" t="s">
        <v>639</v>
      </c>
      <c r="K109" s="102" t="b">
        <f aca="false">TRUE()</f>
        <v>1</v>
      </c>
      <c r="L109" s="0" t="s">
        <v>433</v>
      </c>
    </row>
    <row r="110" customFormat="false" ht="15" hidden="false" customHeight="true" outlineLevel="0" collapsed="false">
      <c r="A110" s="0" t="s">
        <v>649</v>
      </c>
      <c r="B110" s="0" t="s">
        <v>650</v>
      </c>
      <c r="C110" s="0" t="s">
        <v>381</v>
      </c>
      <c r="D110" s="0" t="s">
        <v>389</v>
      </c>
      <c r="E110" s="102" t="b">
        <f aca="false">TRUE()</f>
        <v>1</v>
      </c>
      <c r="F110" s="0" t="s">
        <v>651</v>
      </c>
      <c r="G110" s="0" t="s">
        <v>367</v>
      </c>
      <c r="H110" s="0" t="s">
        <v>384</v>
      </c>
      <c r="I110" s="0" t="s">
        <v>431</v>
      </c>
      <c r="J110" s="0" t="s">
        <v>639</v>
      </c>
      <c r="K110" s="102" t="b">
        <f aca="false">TRUE()</f>
        <v>1</v>
      </c>
      <c r="L110" s="0" t="s">
        <v>433</v>
      </c>
    </row>
    <row r="111" customFormat="false" ht="15" hidden="false" customHeight="true" outlineLevel="0" collapsed="false">
      <c r="A111" s="0" t="s">
        <v>652</v>
      </c>
      <c r="B111" s="0" t="s">
        <v>653</v>
      </c>
      <c r="C111" s="0" t="s">
        <v>381</v>
      </c>
      <c r="D111" s="0" t="s">
        <v>389</v>
      </c>
      <c r="E111" s="102" t="b">
        <f aca="false">TRUE()</f>
        <v>1</v>
      </c>
      <c r="F111" s="0" t="s">
        <v>654</v>
      </c>
      <c r="G111" s="0" t="s">
        <v>367</v>
      </c>
      <c r="H111" s="0" t="s">
        <v>384</v>
      </c>
      <c r="I111" s="0" t="s">
        <v>431</v>
      </c>
      <c r="J111" s="0" t="s">
        <v>639</v>
      </c>
      <c r="K111" s="102" t="b">
        <f aca="false">TRUE()</f>
        <v>1</v>
      </c>
      <c r="L111" s="0" t="s">
        <v>433</v>
      </c>
    </row>
    <row r="112" customFormat="false" ht="15" hidden="false" customHeight="true" outlineLevel="0" collapsed="false">
      <c r="A112" s="0" t="s">
        <v>655</v>
      </c>
      <c r="B112" s="0" t="s">
        <v>656</v>
      </c>
      <c r="C112" s="0" t="s">
        <v>381</v>
      </c>
      <c r="D112" s="0" t="s">
        <v>389</v>
      </c>
      <c r="E112" s="102" t="b">
        <f aca="false">TRUE()</f>
        <v>1</v>
      </c>
      <c r="F112" s="0" t="s">
        <v>657</v>
      </c>
      <c r="G112" s="0" t="s">
        <v>367</v>
      </c>
      <c r="H112" s="0" t="s">
        <v>384</v>
      </c>
      <c r="I112" s="0" t="s">
        <v>431</v>
      </c>
      <c r="J112" s="0" t="s">
        <v>639</v>
      </c>
      <c r="K112" s="102" t="b">
        <f aca="false">TRUE()</f>
        <v>1</v>
      </c>
      <c r="L112" s="0" t="s">
        <v>433</v>
      </c>
    </row>
    <row r="113" customFormat="false" ht="15" hidden="false" customHeight="true" outlineLevel="0" collapsed="false">
      <c r="A113" s="0" t="s">
        <v>658</v>
      </c>
      <c r="B113" s="0" t="s">
        <v>659</v>
      </c>
      <c r="C113" s="0" t="s">
        <v>381</v>
      </c>
      <c r="D113" s="0" t="s">
        <v>389</v>
      </c>
      <c r="E113" s="102" t="b">
        <f aca="false">TRUE()</f>
        <v>1</v>
      </c>
      <c r="F113" s="0" t="s">
        <v>660</v>
      </c>
      <c r="G113" s="0" t="s">
        <v>367</v>
      </c>
      <c r="H113" s="0" t="s">
        <v>384</v>
      </c>
      <c r="I113" s="0" t="s">
        <v>431</v>
      </c>
      <c r="J113" s="0" t="s">
        <v>639</v>
      </c>
      <c r="K113" s="102" t="b">
        <f aca="false">TRUE()</f>
        <v>1</v>
      </c>
      <c r="L113" s="0" t="s">
        <v>433</v>
      </c>
    </row>
    <row r="114" customFormat="false" ht="15" hidden="false" customHeight="true" outlineLevel="0" collapsed="false">
      <c r="A114" s="0" t="s">
        <v>661</v>
      </c>
      <c r="B114" s="0" t="s">
        <v>662</v>
      </c>
      <c r="C114" s="0" t="s">
        <v>381</v>
      </c>
      <c r="D114" s="0" t="s">
        <v>389</v>
      </c>
      <c r="E114" s="102" t="b">
        <f aca="false">TRUE()</f>
        <v>1</v>
      </c>
      <c r="F114" s="0" t="s">
        <v>663</v>
      </c>
      <c r="G114" s="0" t="s">
        <v>367</v>
      </c>
      <c r="H114" s="0" t="s">
        <v>384</v>
      </c>
      <c r="I114" s="0" t="s">
        <v>431</v>
      </c>
      <c r="J114" s="0" t="s">
        <v>639</v>
      </c>
      <c r="K114" s="102" t="b">
        <f aca="false">TRUE()</f>
        <v>1</v>
      </c>
      <c r="L114" s="0" t="s">
        <v>433</v>
      </c>
    </row>
    <row r="115" customFormat="false" ht="15" hidden="false" customHeight="true" outlineLevel="0" collapsed="false">
      <c r="A115" s="0" t="s">
        <v>664</v>
      </c>
      <c r="B115" s="0" t="s">
        <v>665</v>
      </c>
      <c r="C115" s="0" t="s">
        <v>381</v>
      </c>
      <c r="D115" s="0" t="s">
        <v>389</v>
      </c>
      <c r="E115" s="102" t="b">
        <f aca="false">TRUE()</f>
        <v>1</v>
      </c>
      <c r="F115" s="0" t="s">
        <v>666</v>
      </c>
      <c r="G115" s="0" t="s">
        <v>367</v>
      </c>
      <c r="H115" s="0" t="s">
        <v>384</v>
      </c>
      <c r="I115" s="0" t="s">
        <v>431</v>
      </c>
      <c r="J115" s="0" t="s">
        <v>639</v>
      </c>
      <c r="K115" s="102" t="b">
        <f aca="false">TRUE()</f>
        <v>1</v>
      </c>
      <c r="L115" s="0" t="s">
        <v>433</v>
      </c>
    </row>
    <row r="116" customFormat="false" ht="15" hidden="false" customHeight="true" outlineLevel="0" collapsed="false">
      <c r="A116" s="0" t="s">
        <v>667</v>
      </c>
      <c r="B116" s="0" t="s">
        <v>668</v>
      </c>
      <c r="C116" s="0" t="s">
        <v>381</v>
      </c>
      <c r="D116" s="0" t="s">
        <v>389</v>
      </c>
      <c r="E116" s="102" t="b">
        <f aca="false">TRUE()</f>
        <v>1</v>
      </c>
      <c r="F116" s="0" t="s">
        <v>669</v>
      </c>
      <c r="G116" s="0" t="s">
        <v>367</v>
      </c>
      <c r="H116" s="0" t="s">
        <v>384</v>
      </c>
      <c r="I116" s="0" t="s">
        <v>431</v>
      </c>
      <c r="J116" s="0" t="s">
        <v>639</v>
      </c>
      <c r="K116" s="102" t="b">
        <f aca="false">TRUE()</f>
        <v>1</v>
      </c>
      <c r="L116" s="0" t="s">
        <v>433</v>
      </c>
    </row>
    <row r="117" customFormat="false" ht="15" hidden="false" customHeight="true" outlineLevel="0" collapsed="false">
      <c r="A117" s="0" t="s">
        <v>670</v>
      </c>
      <c r="B117" s="0" t="s">
        <v>671</v>
      </c>
      <c r="C117" s="0" t="s">
        <v>381</v>
      </c>
      <c r="D117" s="0" t="s">
        <v>389</v>
      </c>
      <c r="E117" s="102" t="b">
        <f aca="false">TRUE()</f>
        <v>1</v>
      </c>
      <c r="F117" s="0" t="s">
        <v>672</v>
      </c>
      <c r="G117" s="0" t="s">
        <v>367</v>
      </c>
      <c r="H117" s="0" t="s">
        <v>384</v>
      </c>
      <c r="I117" s="0" t="s">
        <v>431</v>
      </c>
      <c r="J117" s="0" t="s">
        <v>639</v>
      </c>
      <c r="K117" s="102" t="b">
        <f aca="false">TRUE()</f>
        <v>1</v>
      </c>
      <c r="L117" s="0" t="s">
        <v>433</v>
      </c>
    </row>
    <row r="118" customFormat="false" ht="15" hidden="false" customHeight="true" outlineLevel="0" collapsed="false">
      <c r="A118" s="0" t="s">
        <v>673</v>
      </c>
      <c r="B118" s="0" t="s">
        <v>674</v>
      </c>
      <c r="C118" s="0" t="s">
        <v>381</v>
      </c>
      <c r="D118" s="0" t="s">
        <v>389</v>
      </c>
      <c r="E118" s="102" t="b">
        <f aca="false">TRUE()</f>
        <v>1</v>
      </c>
      <c r="F118" s="0" t="s">
        <v>675</v>
      </c>
      <c r="G118" s="0" t="s">
        <v>367</v>
      </c>
      <c r="H118" s="0" t="s">
        <v>384</v>
      </c>
      <c r="I118" s="0" t="s">
        <v>431</v>
      </c>
      <c r="J118" s="0" t="s">
        <v>639</v>
      </c>
      <c r="K118" s="102" t="b">
        <f aca="false">TRUE()</f>
        <v>1</v>
      </c>
      <c r="L118" s="0" t="s">
        <v>433</v>
      </c>
    </row>
    <row r="119" customFormat="false" ht="15" hidden="false" customHeight="true" outlineLevel="0" collapsed="false">
      <c r="A119" s="0" t="s">
        <v>676</v>
      </c>
      <c r="B119" s="0" t="s">
        <v>677</v>
      </c>
      <c r="C119" s="0" t="s">
        <v>381</v>
      </c>
      <c r="D119" s="0" t="s">
        <v>389</v>
      </c>
      <c r="E119" s="102" t="b">
        <f aca="false">TRUE()</f>
        <v>1</v>
      </c>
      <c r="F119" s="0" t="s">
        <v>678</v>
      </c>
      <c r="G119" s="0" t="s">
        <v>367</v>
      </c>
      <c r="H119" s="0" t="s">
        <v>384</v>
      </c>
      <c r="I119" s="0" t="s">
        <v>431</v>
      </c>
      <c r="J119" s="0" t="s">
        <v>639</v>
      </c>
      <c r="K119" s="102" t="b">
        <f aca="false">TRUE()</f>
        <v>1</v>
      </c>
      <c r="L119" s="0" t="s">
        <v>433</v>
      </c>
    </row>
    <row r="120" customFormat="false" ht="15" hidden="false" customHeight="true" outlineLevel="0" collapsed="false">
      <c r="A120" s="0" t="s">
        <v>679</v>
      </c>
      <c r="B120" s="0" t="s">
        <v>680</v>
      </c>
      <c r="C120" s="0" t="s">
        <v>381</v>
      </c>
      <c r="D120" s="0" t="s">
        <v>389</v>
      </c>
      <c r="E120" s="102" t="b">
        <f aca="false">TRUE()</f>
        <v>1</v>
      </c>
      <c r="F120" s="0" t="s">
        <v>681</v>
      </c>
      <c r="G120" s="0" t="s">
        <v>367</v>
      </c>
      <c r="H120" s="0" t="s">
        <v>384</v>
      </c>
      <c r="I120" s="0" t="s">
        <v>431</v>
      </c>
      <c r="J120" s="0" t="s">
        <v>639</v>
      </c>
      <c r="K120" s="102" t="b">
        <f aca="false">TRUE()</f>
        <v>1</v>
      </c>
      <c r="L120" s="0" t="s">
        <v>433</v>
      </c>
    </row>
    <row r="121" customFormat="false" ht="15" hidden="false" customHeight="true" outlineLevel="0" collapsed="false">
      <c r="A121" s="0" t="s">
        <v>682</v>
      </c>
      <c r="B121" s="0" t="s">
        <v>683</v>
      </c>
      <c r="C121" s="0" t="s">
        <v>381</v>
      </c>
      <c r="D121" s="0" t="s">
        <v>406</v>
      </c>
      <c r="E121" s="102" t="b">
        <f aca="false">TRUE()</f>
        <v>1</v>
      </c>
      <c r="F121" s="0" t="s">
        <v>684</v>
      </c>
      <c r="G121" s="0" t="s">
        <v>367</v>
      </c>
      <c r="H121" s="0" t="s">
        <v>384</v>
      </c>
      <c r="I121" s="0" t="s">
        <v>431</v>
      </c>
      <c r="J121" s="0" t="s">
        <v>432</v>
      </c>
      <c r="K121" s="102" t="b">
        <f aca="false">TRUE()</f>
        <v>1</v>
      </c>
      <c r="L121" s="0" t="s">
        <v>433</v>
      </c>
    </row>
    <row r="122" customFormat="false" ht="15" hidden="false" customHeight="true" outlineLevel="0" collapsed="false">
      <c r="A122" s="0" t="s">
        <v>685</v>
      </c>
      <c r="B122" s="0" t="s">
        <v>686</v>
      </c>
      <c r="C122" s="0" t="s">
        <v>381</v>
      </c>
      <c r="D122" s="0" t="s">
        <v>406</v>
      </c>
      <c r="E122" s="102" t="b">
        <f aca="false">TRUE()</f>
        <v>1</v>
      </c>
      <c r="F122" s="0" t="s">
        <v>687</v>
      </c>
      <c r="G122" s="0" t="s">
        <v>367</v>
      </c>
      <c r="H122" s="0" t="s">
        <v>384</v>
      </c>
      <c r="I122" s="0" t="s">
        <v>431</v>
      </c>
      <c r="J122" s="0" t="s">
        <v>432</v>
      </c>
      <c r="K122" s="102" t="b">
        <f aca="false">TRUE()</f>
        <v>1</v>
      </c>
      <c r="L122" s="0" t="s">
        <v>433</v>
      </c>
    </row>
    <row r="123" customFormat="false" ht="15" hidden="false" customHeight="true" outlineLevel="0" collapsed="false">
      <c r="A123" s="0" t="s">
        <v>688</v>
      </c>
      <c r="B123" s="0" t="s">
        <v>689</v>
      </c>
      <c r="C123" s="0" t="s">
        <v>381</v>
      </c>
      <c r="D123" s="0" t="s">
        <v>406</v>
      </c>
      <c r="E123" s="102" t="b">
        <f aca="false">TRUE()</f>
        <v>1</v>
      </c>
      <c r="F123" s="0" t="s">
        <v>690</v>
      </c>
      <c r="G123" s="0" t="s">
        <v>367</v>
      </c>
      <c r="H123" s="0" t="s">
        <v>384</v>
      </c>
      <c r="I123" s="0" t="s">
        <v>431</v>
      </c>
      <c r="J123" s="0" t="s">
        <v>432</v>
      </c>
      <c r="K123" s="102" t="b">
        <f aca="false">TRUE()</f>
        <v>1</v>
      </c>
      <c r="L123" s="0" t="s">
        <v>433</v>
      </c>
    </row>
    <row r="124" customFormat="false" ht="15" hidden="false" customHeight="true" outlineLevel="0" collapsed="false">
      <c r="A124" s="0" t="s">
        <v>691</v>
      </c>
      <c r="B124" s="0" t="s">
        <v>692</v>
      </c>
      <c r="C124" s="0" t="s">
        <v>381</v>
      </c>
      <c r="D124" s="0" t="s">
        <v>406</v>
      </c>
      <c r="E124" s="102" t="b">
        <f aca="false">TRUE()</f>
        <v>1</v>
      </c>
      <c r="F124" s="0" t="s">
        <v>693</v>
      </c>
      <c r="G124" s="0" t="s">
        <v>367</v>
      </c>
      <c r="H124" s="0" t="s">
        <v>384</v>
      </c>
      <c r="I124" s="0" t="s">
        <v>431</v>
      </c>
      <c r="J124" s="0" t="s">
        <v>432</v>
      </c>
      <c r="K124" s="102" t="b">
        <f aca="false">TRUE()</f>
        <v>1</v>
      </c>
      <c r="L124" s="0" t="s">
        <v>433</v>
      </c>
    </row>
    <row r="125" customFormat="false" ht="15" hidden="false" customHeight="true" outlineLevel="0" collapsed="false">
      <c r="A125" s="0" t="s">
        <v>694</v>
      </c>
      <c r="B125" s="0" t="s">
        <v>695</v>
      </c>
      <c r="C125" s="0" t="s">
        <v>381</v>
      </c>
      <c r="D125" s="0" t="s">
        <v>406</v>
      </c>
      <c r="E125" s="102" t="b">
        <f aca="false">TRUE()</f>
        <v>1</v>
      </c>
      <c r="F125" s="0" t="s">
        <v>696</v>
      </c>
      <c r="G125" s="0" t="s">
        <v>367</v>
      </c>
      <c r="H125" s="0" t="s">
        <v>384</v>
      </c>
      <c r="I125" s="0" t="s">
        <v>431</v>
      </c>
      <c r="J125" s="0" t="s">
        <v>432</v>
      </c>
      <c r="K125" s="102" t="b">
        <f aca="false">TRUE()</f>
        <v>1</v>
      </c>
      <c r="L125" s="0" t="s">
        <v>433</v>
      </c>
    </row>
    <row r="126" customFormat="false" ht="15" hidden="false" customHeight="true" outlineLevel="0" collapsed="false">
      <c r="A126" s="0" t="s">
        <v>697</v>
      </c>
      <c r="B126" s="0" t="s">
        <v>698</v>
      </c>
      <c r="C126" s="0" t="s">
        <v>381</v>
      </c>
      <c r="D126" s="0" t="s">
        <v>382</v>
      </c>
      <c r="E126" s="102" t="b">
        <f aca="false">TRUE()</f>
        <v>1</v>
      </c>
      <c r="F126" s="0" t="s">
        <v>699</v>
      </c>
      <c r="G126" s="0" t="s">
        <v>367</v>
      </c>
      <c r="H126" s="0" t="s">
        <v>384</v>
      </c>
      <c r="I126" s="0" t="s">
        <v>431</v>
      </c>
      <c r="J126" s="0" t="s">
        <v>623</v>
      </c>
      <c r="K126" s="102" t="b">
        <f aca="false">TRUE()</f>
        <v>1</v>
      </c>
      <c r="L126" s="0" t="s">
        <v>433</v>
      </c>
    </row>
    <row r="127" customFormat="false" ht="15" hidden="false" customHeight="true" outlineLevel="0" collapsed="false">
      <c r="A127" s="0" t="s">
        <v>700</v>
      </c>
      <c r="B127" s="0" t="s">
        <v>701</v>
      </c>
      <c r="C127" s="0" t="s">
        <v>381</v>
      </c>
      <c r="D127" s="0" t="s">
        <v>382</v>
      </c>
      <c r="E127" s="102" t="b">
        <f aca="false">TRUE()</f>
        <v>1</v>
      </c>
      <c r="F127" s="0" t="s">
        <v>702</v>
      </c>
      <c r="G127" s="0" t="s">
        <v>367</v>
      </c>
      <c r="H127" s="0" t="s">
        <v>384</v>
      </c>
      <c r="I127" s="0" t="s">
        <v>431</v>
      </c>
      <c r="J127" s="0" t="s">
        <v>623</v>
      </c>
      <c r="K127" s="102" t="b">
        <f aca="false">TRUE()</f>
        <v>1</v>
      </c>
      <c r="L127" s="0" t="s">
        <v>433</v>
      </c>
    </row>
    <row r="128" customFormat="false" ht="15" hidden="false" customHeight="true" outlineLevel="0" collapsed="false">
      <c r="A128" s="0" t="s">
        <v>703</v>
      </c>
      <c r="B128" s="0" t="s">
        <v>704</v>
      </c>
      <c r="C128" s="0" t="s">
        <v>381</v>
      </c>
      <c r="D128" s="0" t="s">
        <v>382</v>
      </c>
      <c r="E128" s="102" t="b">
        <f aca="false">TRUE()</f>
        <v>1</v>
      </c>
      <c r="F128" s="0" t="s">
        <v>705</v>
      </c>
      <c r="G128" s="0" t="s">
        <v>367</v>
      </c>
      <c r="H128" s="0" t="s">
        <v>384</v>
      </c>
      <c r="I128" s="0" t="s">
        <v>431</v>
      </c>
      <c r="J128" s="0" t="s">
        <v>623</v>
      </c>
      <c r="K128" s="102" t="b">
        <f aca="false">TRUE()</f>
        <v>1</v>
      </c>
      <c r="L128" s="0" t="s">
        <v>433</v>
      </c>
    </row>
    <row r="129" customFormat="false" ht="15" hidden="false" customHeight="true" outlineLevel="0" collapsed="false">
      <c r="A129" s="0" t="s">
        <v>706</v>
      </c>
      <c r="B129" s="0" t="s">
        <v>707</v>
      </c>
      <c r="C129" s="0" t="s">
        <v>381</v>
      </c>
      <c r="D129" s="0" t="s">
        <v>382</v>
      </c>
      <c r="E129" s="102" t="b">
        <f aca="false">TRUE()</f>
        <v>1</v>
      </c>
      <c r="F129" s="0" t="s">
        <v>708</v>
      </c>
      <c r="G129" s="0" t="s">
        <v>367</v>
      </c>
      <c r="H129" s="0" t="s">
        <v>384</v>
      </c>
      <c r="I129" s="0" t="s">
        <v>431</v>
      </c>
      <c r="J129" s="0" t="s">
        <v>623</v>
      </c>
      <c r="K129" s="102" t="b">
        <f aca="false">TRUE()</f>
        <v>1</v>
      </c>
      <c r="L129" s="0" t="s">
        <v>433</v>
      </c>
    </row>
    <row r="130" customFormat="false" ht="15" hidden="false" customHeight="true" outlineLevel="0" collapsed="false">
      <c r="A130" s="0" t="s">
        <v>709</v>
      </c>
      <c r="B130" s="0" t="s">
        <v>710</v>
      </c>
      <c r="C130" s="0" t="s">
        <v>381</v>
      </c>
      <c r="D130" s="0" t="s">
        <v>382</v>
      </c>
      <c r="E130" s="102" t="b">
        <f aca="false">TRUE()</f>
        <v>1</v>
      </c>
      <c r="F130" s="0" t="s">
        <v>711</v>
      </c>
      <c r="G130" s="0" t="s">
        <v>367</v>
      </c>
      <c r="H130" s="0" t="s">
        <v>384</v>
      </c>
      <c r="I130" s="0" t="s">
        <v>431</v>
      </c>
      <c r="J130" s="0" t="s">
        <v>623</v>
      </c>
      <c r="K130" s="102" t="b">
        <f aca="false">TRUE()</f>
        <v>1</v>
      </c>
      <c r="L130" s="0" t="s">
        <v>433</v>
      </c>
    </row>
    <row r="131" customFormat="false" ht="15" hidden="false" customHeight="true" outlineLevel="0" collapsed="false">
      <c r="A131" s="0" t="s">
        <v>712</v>
      </c>
      <c r="B131" s="0" t="s">
        <v>713</v>
      </c>
      <c r="C131" s="0" t="s">
        <v>381</v>
      </c>
      <c r="D131" s="0" t="s">
        <v>382</v>
      </c>
      <c r="E131" s="102" t="b">
        <f aca="false">TRUE()</f>
        <v>1</v>
      </c>
      <c r="F131" s="0" t="s">
        <v>714</v>
      </c>
      <c r="G131" s="0" t="s">
        <v>367</v>
      </c>
      <c r="H131" s="0" t="s">
        <v>384</v>
      </c>
      <c r="I131" s="0" t="s">
        <v>431</v>
      </c>
      <c r="J131" s="0" t="s">
        <v>623</v>
      </c>
      <c r="K131" s="102" t="b">
        <f aca="false">TRUE()</f>
        <v>1</v>
      </c>
      <c r="L131" s="0" t="s">
        <v>433</v>
      </c>
    </row>
    <row r="132" customFormat="false" ht="15" hidden="false" customHeight="true" outlineLevel="0" collapsed="false">
      <c r="A132" s="0" t="s">
        <v>715</v>
      </c>
      <c r="B132" s="0" t="s">
        <v>716</v>
      </c>
      <c r="C132" s="0" t="s">
        <v>381</v>
      </c>
      <c r="D132" s="0" t="s">
        <v>382</v>
      </c>
      <c r="E132" s="102" t="b">
        <f aca="false">TRUE()</f>
        <v>1</v>
      </c>
      <c r="F132" s="0" t="s">
        <v>717</v>
      </c>
      <c r="G132" s="0" t="s">
        <v>367</v>
      </c>
      <c r="H132" s="0" t="s">
        <v>384</v>
      </c>
      <c r="I132" s="0" t="s">
        <v>431</v>
      </c>
      <c r="J132" s="0" t="s">
        <v>623</v>
      </c>
      <c r="K132" s="102" t="b">
        <f aca="false">TRUE()</f>
        <v>1</v>
      </c>
      <c r="L132" s="0" t="s">
        <v>433</v>
      </c>
    </row>
    <row r="133" customFormat="false" ht="15" hidden="false" customHeight="true" outlineLevel="0" collapsed="false">
      <c r="A133" s="0" t="s">
        <v>718</v>
      </c>
      <c r="B133" s="0" t="s">
        <v>719</v>
      </c>
      <c r="C133" s="0" t="s">
        <v>381</v>
      </c>
      <c r="D133" s="0" t="s">
        <v>382</v>
      </c>
      <c r="E133" s="102" t="b">
        <f aca="false">TRUE()</f>
        <v>1</v>
      </c>
      <c r="F133" s="0" t="s">
        <v>720</v>
      </c>
      <c r="G133" s="0" t="s">
        <v>367</v>
      </c>
      <c r="H133" s="0" t="s">
        <v>384</v>
      </c>
      <c r="I133" s="0" t="s">
        <v>431</v>
      </c>
      <c r="J133" s="0" t="s">
        <v>623</v>
      </c>
      <c r="K133" s="102" t="b">
        <f aca="false">TRUE()</f>
        <v>1</v>
      </c>
      <c r="L133" s="0" t="s">
        <v>433</v>
      </c>
    </row>
    <row r="134" customFormat="false" ht="15" hidden="false" customHeight="true" outlineLevel="0" collapsed="false">
      <c r="A134" s="0" t="s">
        <v>721</v>
      </c>
      <c r="B134" s="0" t="s">
        <v>722</v>
      </c>
      <c r="C134" s="0" t="s">
        <v>381</v>
      </c>
      <c r="D134" s="0" t="s">
        <v>382</v>
      </c>
      <c r="E134" s="102" t="b">
        <f aca="false">TRUE()</f>
        <v>1</v>
      </c>
      <c r="F134" s="0" t="s">
        <v>723</v>
      </c>
      <c r="G134" s="0" t="s">
        <v>367</v>
      </c>
      <c r="H134" s="0" t="s">
        <v>384</v>
      </c>
      <c r="I134" s="0" t="s">
        <v>431</v>
      </c>
      <c r="J134" s="0" t="s">
        <v>623</v>
      </c>
      <c r="K134" s="102" t="b">
        <f aca="false">TRUE()</f>
        <v>1</v>
      </c>
      <c r="L134" s="0" t="s">
        <v>433</v>
      </c>
    </row>
    <row r="135" customFormat="false" ht="15" hidden="false" customHeight="true" outlineLevel="0" collapsed="false">
      <c r="A135" s="0" t="s">
        <v>724</v>
      </c>
      <c r="B135" s="0" t="s">
        <v>725</v>
      </c>
      <c r="C135" s="0" t="s">
        <v>381</v>
      </c>
      <c r="D135" s="0" t="s">
        <v>382</v>
      </c>
      <c r="E135" s="102" t="b">
        <f aca="false">TRUE()</f>
        <v>1</v>
      </c>
      <c r="F135" s="0" t="s">
        <v>726</v>
      </c>
      <c r="G135" s="0" t="s">
        <v>367</v>
      </c>
      <c r="H135" s="0" t="s">
        <v>384</v>
      </c>
      <c r="I135" s="0" t="s">
        <v>431</v>
      </c>
      <c r="J135" s="0" t="s">
        <v>623</v>
      </c>
      <c r="K135" s="102" t="b">
        <f aca="false">TRUE()</f>
        <v>1</v>
      </c>
      <c r="L135" s="0" t="s">
        <v>433</v>
      </c>
    </row>
    <row r="136" customFormat="false" ht="15" hidden="false" customHeight="true" outlineLevel="0" collapsed="false">
      <c r="A136" s="0" t="s">
        <v>727</v>
      </c>
      <c r="B136" s="0" t="s">
        <v>728</v>
      </c>
      <c r="C136" s="0" t="s">
        <v>381</v>
      </c>
      <c r="D136" s="0" t="s">
        <v>382</v>
      </c>
      <c r="E136" s="102" t="b">
        <f aca="false">TRUE()</f>
        <v>1</v>
      </c>
      <c r="F136" s="0" t="s">
        <v>729</v>
      </c>
      <c r="G136" s="0" t="s">
        <v>367</v>
      </c>
      <c r="H136" s="0" t="s">
        <v>384</v>
      </c>
      <c r="I136" s="0" t="s">
        <v>431</v>
      </c>
      <c r="J136" s="0" t="s">
        <v>623</v>
      </c>
      <c r="K136" s="102" t="b">
        <f aca="false">TRUE()</f>
        <v>1</v>
      </c>
      <c r="L136" s="0" t="s">
        <v>433</v>
      </c>
    </row>
    <row r="137" customFormat="false" ht="15" hidden="false" customHeight="true" outlineLevel="0" collapsed="false">
      <c r="A137" s="0" t="s">
        <v>730</v>
      </c>
      <c r="B137" s="0" t="s">
        <v>731</v>
      </c>
      <c r="C137" s="0" t="s">
        <v>381</v>
      </c>
      <c r="D137" s="0" t="s">
        <v>382</v>
      </c>
      <c r="E137" s="102" t="b">
        <f aca="false">TRUE()</f>
        <v>1</v>
      </c>
      <c r="F137" s="0" t="s">
        <v>732</v>
      </c>
      <c r="G137" s="0" t="s">
        <v>367</v>
      </c>
      <c r="H137" s="0" t="s">
        <v>384</v>
      </c>
      <c r="I137" s="0" t="s">
        <v>431</v>
      </c>
      <c r="J137" s="0" t="s">
        <v>623</v>
      </c>
      <c r="K137" s="102" t="b">
        <f aca="false">TRUE()</f>
        <v>1</v>
      </c>
      <c r="L137" s="0" t="s">
        <v>433</v>
      </c>
    </row>
    <row r="138" customFormat="false" ht="15" hidden="false" customHeight="true" outlineLevel="0" collapsed="false">
      <c r="A138" s="0" t="s">
        <v>733</v>
      </c>
      <c r="B138" s="0" t="s">
        <v>734</v>
      </c>
      <c r="C138" s="0" t="s">
        <v>381</v>
      </c>
      <c r="D138" s="0" t="s">
        <v>377</v>
      </c>
      <c r="E138" s="102" t="b">
        <f aca="false">TRUE()</f>
        <v>1</v>
      </c>
      <c r="F138" s="0" t="s">
        <v>735</v>
      </c>
      <c r="G138" s="0" t="s">
        <v>367</v>
      </c>
      <c r="H138" s="0" t="s">
        <v>384</v>
      </c>
      <c r="I138" s="0" t="s">
        <v>431</v>
      </c>
      <c r="J138" s="0" t="s">
        <v>736</v>
      </c>
      <c r="K138" s="102" t="b">
        <f aca="false">TRUE()</f>
        <v>1</v>
      </c>
      <c r="L138" s="0" t="s">
        <v>433</v>
      </c>
    </row>
    <row r="139" customFormat="false" ht="15" hidden="false" customHeight="true" outlineLevel="0" collapsed="false">
      <c r="A139" s="0" t="s">
        <v>737</v>
      </c>
      <c r="B139" s="0" t="s">
        <v>738</v>
      </c>
      <c r="C139" s="0" t="s">
        <v>381</v>
      </c>
      <c r="D139" s="0" t="s">
        <v>377</v>
      </c>
      <c r="E139" s="102" t="b">
        <f aca="false">TRUE()</f>
        <v>1</v>
      </c>
      <c r="F139" s="0" t="s">
        <v>735</v>
      </c>
      <c r="G139" s="0" t="s">
        <v>367</v>
      </c>
      <c r="H139" s="0" t="s">
        <v>384</v>
      </c>
      <c r="I139" s="0" t="s">
        <v>431</v>
      </c>
      <c r="J139" s="0" t="s">
        <v>736</v>
      </c>
      <c r="K139" s="102" t="b">
        <f aca="false">TRUE()</f>
        <v>1</v>
      </c>
      <c r="L139" s="0" t="s">
        <v>433</v>
      </c>
    </row>
    <row r="140" customFormat="false" ht="15" hidden="false" customHeight="true" outlineLevel="0" collapsed="false">
      <c r="A140" s="0" t="s">
        <v>739</v>
      </c>
      <c r="B140" s="0" t="s">
        <v>740</v>
      </c>
      <c r="C140" s="0" t="s">
        <v>381</v>
      </c>
      <c r="D140" s="0" t="s">
        <v>377</v>
      </c>
      <c r="E140" s="102" t="b">
        <f aca="false">TRUE()</f>
        <v>1</v>
      </c>
      <c r="F140" s="0" t="s">
        <v>741</v>
      </c>
      <c r="G140" s="0" t="s">
        <v>367</v>
      </c>
      <c r="H140" s="0" t="s">
        <v>384</v>
      </c>
      <c r="I140" s="0" t="s">
        <v>431</v>
      </c>
      <c r="J140" s="0" t="s">
        <v>736</v>
      </c>
      <c r="K140" s="102" t="b">
        <f aca="false">TRUE()</f>
        <v>1</v>
      </c>
      <c r="L140" s="0" t="s">
        <v>433</v>
      </c>
    </row>
    <row r="141" customFormat="false" ht="15" hidden="false" customHeight="true" outlineLevel="0" collapsed="false">
      <c r="A141" s="0" t="s">
        <v>742</v>
      </c>
      <c r="B141" s="0" t="s">
        <v>743</v>
      </c>
      <c r="C141" s="0" t="s">
        <v>381</v>
      </c>
      <c r="D141" s="0" t="s">
        <v>377</v>
      </c>
      <c r="E141" s="102" t="b">
        <f aca="false">TRUE()</f>
        <v>1</v>
      </c>
      <c r="F141" s="0" t="s">
        <v>744</v>
      </c>
      <c r="G141" s="0" t="s">
        <v>367</v>
      </c>
      <c r="H141" s="0" t="s">
        <v>384</v>
      </c>
      <c r="I141" s="0" t="s">
        <v>431</v>
      </c>
      <c r="J141" s="0" t="s">
        <v>736</v>
      </c>
      <c r="K141" s="102" t="b">
        <f aca="false">TRUE()</f>
        <v>1</v>
      </c>
      <c r="L141" s="0" t="s">
        <v>433</v>
      </c>
    </row>
    <row r="142" customFormat="false" ht="15" hidden="false" customHeight="true" outlineLevel="0" collapsed="false">
      <c r="A142" s="0" t="s">
        <v>745</v>
      </c>
      <c r="B142" s="0" t="s">
        <v>746</v>
      </c>
      <c r="C142" s="0" t="s">
        <v>381</v>
      </c>
      <c r="D142" s="0" t="s">
        <v>377</v>
      </c>
      <c r="E142" s="102" t="b">
        <f aca="false">TRUE()</f>
        <v>1</v>
      </c>
      <c r="F142" s="0" t="s">
        <v>747</v>
      </c>
      <c r="G142" s="0" t="s">
        <v>367</v>
      </c>
      <c r="H142" s="0" t="s">
        <v>384</v>
      </c>
      <c r="I142" s="0" t="s">
        <v>431</v>
      </c>
      <c r="J142" s="0" t="s">
        <v>736</v>
      </c>
      <c r="K142" s="102" t="b">
        <f aca="false">TRUE()</f>
        <v>1</v>
      </c>
      <c r="L142" s="0" t="s">
        <v>433</v>
      </c>
    </row>
    <row r="143" customFormat="false" ht="15" hidden="false" customHeight="true" outlineLevel="0" collapsed="false">
      <c r="A143" s="0" t="s">
        <v>748</v>
      </c>
      <c r="B143" s="0" t="s">
        <v>749</v>
      </c>
      <c r="C143" s="0" t="s">
        <v>381</v>
      </c>
      <c r="D143" s="0" t="s">
        <v>377</v>
      </c>
      <c r="E143" s="102" t="b">
        <f aca="false">TRUE()</f>
        <v>1</v>
      </c>
      <c r="F143" s="0" t="s">
        <v>750</v>
      </c>
      <c r="G143" s="0" t="s">
        <v>367</v>
      </c>
      <c r="H143" s="0" t="s">
        <v>384</v>
      </c>
      <c r="I143" s="0" t="s">
        <v>431</v>
      </c>
      <c r="J143" s="0" t="s">
        <v>736</v>
      </c>
      <c r="K143" s="102" t="b">
        <f aca="false">TRUE()</f>
        <v>1</v>
      </c>
      <c r="L143" s="0" t="s">
        <v>433</v>
      </c>
    </row>
    <row r="144" customFormat="false" ht="15" hidden="false" customHeight="true" outlineLevel="0" collapsed="false">
      <c r="A144" s="0" t="s">
        <v>751</v>
      </c>
      <c r="B144" s="0" t="s">
        <v>752</v>
      </c>
      <c r="C144" s="0" t="s">
        <v>381</v>
      </c>
      <c r="D144" s="0" t="s">
        <v>399</v>
      </c>
      <c r="E144" s="102" t="b">
        <f aca="false">TRUE()</f>
        <v>1</v>
      </c>
      <c r="F144" s="0" t="s">
        <v>753</v>
      </c>
      <c r="G144" s="0" t="s">
        <v>367</v>
      </c>
      <c r="H144" s="0" t="s">
        <v>384</v>
      </c>
      <c r="I144" s="0" t="s">
        <v>431</v>
      </c>
      <c r="J144" s="0" t="s">
        <v>754</v>
      </c>
      <c r="K144" s="102" t="b">
        <f aca="false">TRUE()</f>
        <v>1</v>
      </c>
      <c r="L144" s="0" t="s">
        <v>433</v>
      </c>
    </row>
    <row r="145" customFormat="false" ht="15" hidden="false" customHeight="true" outlineLevel="0" collapsed="false">
      <c r="A145" s="0" t="s">
        <v>755</v>
      </c>
      <c r="B145" s="0" t="s">
        <v>756</v>
      </c>
      <c r="C145" s="0" t="s">
        <v>381</v>
      </c>
      <c r="D145" s="0" t="s">
        <v>399</v>
      </c>
      <c r="E145" s="102" t="b">
        <f aca="false">TRUE()</f>
        <v>1</v>
      </c>
      <c r="F145" s="0" t="s">
        <v>757</v>
      </c>
      <c r="G145" s="0" t="s">
        <v>367</v>
      </c>
      <c r="H145" s="0" t="s">
        <v>384</v>
      </c>
      <c r="I145" s="0" t="s">
        <v>431</v>
      </c>
      <c r="J145" s="0" t="s">
        <v>754</v>
      </c>
      <c r="K145" s="102" t="b">
        <f aca="false">TRUE()</f>
        <v>1</v>
      </c>
      <c r="L145" s="0" t="s">
        <v>433</v>
      </c>
    </row>
    <row r="146" customFormat="false" ht="15" hidden="false" customHeight="true" outlineLevel="0" collapsed="false">
      <c r="A146" s="0" t="s">
        <v>758</v>
      </c>
      <c r="B146" s="0" t="s">
        <v>759</v>
      </c>
      <c r="C146" s="0" t="s">
        <v>381</v>
      </c>
      <c r="D146" s="0" t="s">
        <v>399</v>
      </c>
      <c r="E146" s="102" t="b">
        <f aca="false">TRUE()</f>
        <v>1</v>
      </c>
      <c r="F146" s="0" t="s">
        <v>760</v>
      </c>
      <c r="G146" s="0" t="s">
        <v>367</v>
      </c>
      <c r="H146" s="0" t="s">
        <v>384</v>
      </c>
      <c r="I146" s="0" t="s">
        <v>431</v>
      </c>
      <c r="J146" s="0" t="s">
        <v>754</v>
      </c>
      <c r="K146" s="102" t="b">
        <f aca="false">TRUE()</f>
        <v>1</v>
      </c>
      <c r="L146" s="0" t="s">
        <v>433</v>
      </c>
    </row>
    <row r="147" customFormat="false" ht="15" hidden="false" customHeight="true" outlineLevel="0" collapsed="false">
      <c r="A147" s="0" t="s">
        <v>761</v>
      </c>
      <c r="B147" s="0" t="s">
        <v>762</v>
      </c>
      <c r="C147" s="0" t="s">
        <v>381</v>
      </c>
      <c r="D147" s="0" t="s">
        <v>399</v>
      </c>
      <c r="E147" s="102" t="b">
        <f aca="false">TRUE()</f>
        <v>1</v>
      </c>
      <c r="F147" s="0" t="s">
        <v>763</v>
      </c>
      <c r="G147" s="0" t="s">
        <v>367</v>
      </c>
      <c r="H147" s="0" t="s">
        <v>384</v>
      </c>
      <c r="I147" s="0" t="s">
        <v>431</v>
      </c>
      <c r="J147" s="0" t="s">
        <v>754</v>
      </c>
      <c r="K147" s="102" t="b">
        <f aca="false">TRUE()</f>
        <v>1</v>
      </c>
      <c r="L147" s="0" t="s">
        <v>433</v>
      </c>
    </row>
    <row r="148" customFormat="false" ht="15" hidden="false" customHeight="true" outlineLevel="0" collapsed="false">
      <c r="A148" s="0" t="s">
        <v>764</v>
      </c>
      <c r="B148" s="0" t="s">
        <v>765</v>
      </c>
      <c r="C148" s="0" t="s">
        <v>381</v>
      </c>
      <c r="D148" s="0" t="s">
        <v>399</v>
      </c>
      <c r="E148" s="102" t="b">
        <f aca="false">TRUE()</f>
        <v>1</v>
      </c>
      <c r="F148" s="0" t="s">
        <v>766</v>
      </c>
      <c r="G148" s="0" t="s">
        <v>367</v>
      </c>
      <c r="H148" s="0" t="s">
        <v>384</v>
      </c>
      <c r="I148" s="0" t="s">
        <v>431</v>
      </c>
      <c r="J148" s="0" t="s">
        <v>754</v>
      </c>
      <c r="K148" s="102" t="b">
        <f aca="false">TRUE()</f>
        <v>1</v>
      </c>
      <c r="L148" s="0" t="s">
        <v>433</v>
      </c>
    </row>
    <row r="149" customFormat="false" ht="15" hidden="false" customHeight="true" outlineLevel="0" collapsed="false">
      <c r="A149" s="0" t="s">
        <v>767</v>
      </c>
      <c r="B149" s="0" t="s">
        <v>768</v>
      </c>
      <c r="C149" s="0" t="s">
        <v>381</v>
      </c>
      <c r="D149" s="0" t="s">
        <v>399</v>
      </c>
      <c r="E149" s="102" t="b">
        <f aca="false">TRUE()</f>
        <v>1</v>
      </c>
      <c r="F149" s="0" t="s">
        <v>769</v>
      </c>
      <c r="G149" s="0" t="s">
        <v>367</v>
      </c>
      <c r="H149" s="0" t="s">
        <v>384</v>
      </c>
      <c r="I149" s="0" t="s">
        <v>431</v>
      </c>
      <c r="J149" s="0" t="s">
        <v>754</v>
      </c>
      <c r="K149" s="102" t="b">
        <f aca="false">TRUE()</f>
        <v>1</v>
      </c>
      <c r="L149" s="0" t="s">
        <v>433</v>
      </c>
    </row>
    <row r="150" customFormat="false" ht="15" hidden="false" customHeight="true" outlineLevel="0" collapsed="false">
      <c r="A150" s="0" t="s">
        <v>770</v>
      </c>
      <c r="B150" s="0" t="s">
        <v>771</v>
      </c>
      <c r="C150" s="0" t="s">
        <v>381</v>
      </c>
      <c r="D150" s="0" t="s">
        <v>406</v>
      </c>
      <c r="E150" s="102" t="b">
        <f aca="false">TRUE()</f>
        <v>1</v>
      </c>
      <c r="F150" s="0" t="s">
        <v>772</v>
      </c>
      <c r="G150" s="0" t="s">
        <v>367</v>
      </c>
      <c r="H150" s="0" t="s">
        <v>384</v>
      </c>
      <c r="I150" s="0" t="s">
        <v>385</v>
      </c>
      <c r="J150" s="0" t="s">
        <v>386</v>
      </c>
      <c r="K150" s="102" t="b">
        <f aca="false">TRUE()</f>
        <v>1</v>
      </c>
      <c r="L150" s="0" t="s">
        <v>371</v>
      </c>
    </row>
    <row r="151" customFormat="false" ht="15" hidden="false" customHeight="true" outlineLevel="0" collapsed="false">
      <c r="A151" s="0" t="s">
        <v>773</v>
      </c>
      <c r="B151" s="0" t="s">
        <v>774</v>
      </c>
      <c r="C151" s="0" t="s">
        <v>381</v>
      </c>
      <c r="D151" s="0" t="s">
        <v>406</v>
      </c>
      <c r="E151" s="102" t="b">
        <f aca="false">TRUE()</f>
        <v>1</v>
      </c>
      <c r="F151" s="0" t="s">
        <v>772</v>
      </c>
      <c r="G151" s="0" t="s">
        <v>367</v>
      </c>
      <c r="H151" s="0" t="s">
        <v>384</v>
      </c>
      <c r="I151" s="0" t="s">
        <v>431</v>
      </c>
      <c r="J151" s="0" t="s">
        <v>432</v>
      </c>
      <c r="K151" s="102" t="b">
        <f aca="false">TRUE()</f>
        <v>1</v>
      </c>
      <c r="L151" s="0" t="s">
        <v>433</v>
      </c>
    </row>
    <row r="152" customFormat="false" ht="15" hidden="false" customHeight="true" outlineLevel="0" collapsed="false">
      <c r="A152" s="0" t="s">
        <v>775</v>
      </c>
      <c r="B152" s="0" t="s">
        <v>776</v>
      </c>
      <c r="C152" s="0" t="s">
        <v>381</v>
      </c>
      <c r="D152" s="0" t="s">
        <v>406</v>
      </c>
      <c r="E152" s="102" t="b">
        <f aca="false">TRUE()</f>
        <v>1</v>
      </c>
      <c r="F152" s="0" t="s">
        <v>777</v>
      </c>
      <c r="G152" s="0" t="s">
        <v>367</v>
      </c>
      <c r="H152" s="0" t="s">
        <v>384</v>
      </c>
      <c r="I152" s="0" t="s">
        <v>431</v>
      </c>
      <c r="J152" s="0" t="s">
        <v>432</v>
      </c>
      <c r="K152" s="102" t="b">
        <f aca="false">TRUE()</f>
        <v>1</v>
      </c>
      <c r="L152" s="0" t="s">
        <v>433</v>
      </c>
    </row>
    <row r="153" customFormat="false" ht="15" hidden="false" customHeight="true" outlineLevel="0" collapsed="false">
      <c r="A153" s="0" t="s">
        <v>778</v>
      </c>
      <c r="B153" s="0" t="s">
        <v>779</v>
      </c>
      <c r="C153" s="0" t="s">
        <v>381</v>
      </c>
      <c r="D153" s="0" t="s">
        <v>406</v>
      </c>
      <c r="E153" s="102" t="b">
        <f aca="false">TRUE()</f>
        <v>1</v>
      </c>
      <c r="F153" s="0" t="s">
        <v>780</v>
      </c>
      <c r="G153" s="0" t="s">
        <v>367</v>
      </c>
      <c r="H153" s="0" t="s">
        <v>384</v>
      </c>
      <c r="I153" s="0" t="s">
        <v>431</v>
      </c>
      <c r="J153" s="0" t="s">
        <v>432</v>
      </c>
      <c r="K153" s="102" t="b">
        <f aca="false">TRUE()</f>
        <v>1</v>
      </c>
      <c r="L153" s="0" t="s">
        <v>433</v>
      </c>
    </row>
    <row r="154" customFormat="false" ht="15" hidden="false" customHeight="true" outlineLevel="0" collapsed="false">
      <c r="A154" s="0" t="s">
        <v>781</v>
      </c>
      <c r="B154" s="0" t="s">
        <v>782</v>
      </c>
      <c r="C154" s="0" t="s">
        <v>381</v>
      </c>
      <c r="D154" s="0" t="s">
        <v>406</v>
      </c>
      <c r="E154" s="102" t="b">
        <f aca="false">TRUE()</f>
        <v>1</v>
      </c>
      <c r="F154" s="0" t="s">
        <v>783</v>
      </c>
      <c r="G154" s="0" t="s">
        <v>367</v>
      </c>
      <c r="H154" s="0" t="s">
        <v>384</v>
      </c>
      <c r="I154" s="0" t="s">
        <v>431</v>
      </c>
      <c r="J154" s="0" t="s">
        <v>432</v>
      </c>
      <c r="K154" s="102" t="b">
        <f aca="false">TRUE()</f>
        <v>1</v>
      </c>
      <c r="L154" s="0" t="s">
        <v>433</v>
      </c>
    </row>
    <row r="155" customFormat="false" ht="15" hidden="false" customHeight="true" outlineLevel="0" collapsed="false">
      <c r="A155" s="0" t="s">
        <v>784</v>
      </c>
      <c r="B155" s="0" t="s">
        <v>785</v>
      </c>
      <c r="C155" s="0" t="s">
        <v>381</v>
      </c>
      <c r="D155" s="0" t="s">
        <v>406</v>
      </c>
      <c r="E155" s="102" t="b">
        <f aca="false">TRUE()</f>
        <v>1</v>
      </c>
      <c r="F155" s="0" t="s">
        <v>786</v>
      </c>
      <c r="G155" s="0" t="s">
        <v>367</v>
      </c>
      <c r="H155" s="0" t="s">
        <v>384</v>
      </c>
      <c r="I155" s="0" t="s">
        <v>431</v>
      </c>
      <c r="J155" s="0" t="s">
        <v>432</v>
      </c>
      <c r="K155" s="102" t="b">
        <f aca="false">TRUE()</f>
        <v>1</v>
      </c>
      <c r="L155" s="0" t="s">
        <v>433</v>
      </c>
    </row>
    <row r="156" customFormat="false" ht="15" hidden="false" customHeight="true" outlineLevel="0" collapsed="false">
      <c r="A156" s="0" t="s">
        <v>787</v>
      </c>
      <c r="B156" s="0" t="s">
        <v>788</v>
      </c>
      <c r="C156" s="0" t="s">
        <v>381</v>
      </c>
      <c r="D156" s="0" t="s">
        <v>406</v>
      </c>
      <c r="E156" s="102" t="b">
        <f aca="false">TRUE()</f>
        <v>1</v>
      </c>
      <c r="F156" s="0" t="s">
        <v>789</v>
      </c>
      <c r="G156" s="0" t="s">
        <v>367</v>
      </c>
      <c r="H156" s="0" t="s">
        <v>384</v>
      </c>
      <c r="I156" s="0" t="s">
        <v>385</v>
      </c>
      <c r="J156" s="0" t="s">
        <v>386</v>
      </c>
      <c r="K156" s="102" t="b">
        <f aca="false">TRUE()</f>
        <v>1</v>
      </c>
      <c r="L156" s="0" t="s">
        <v>371</v>
      </c>
    </row>
    <row r="157" customFormat="false" ht="15" hidden="false" customHeight="true" outlineLevel="0" collapsed="false">
      <c r="A157" s="0" t="s">
        <v>790</v>
      </c>
      <c r="B157" s="0" t="s">
        <v>791</v>
      </c>
      <c r="C157" s="0" t="s">
        <v>381</v>
      </c>
      <c r="D157" s="0" t="s">
        <v>406</v>
      </c>
      <c r="E157" s="102" t="b">
        <f aca="false">TRUE()</f>
        <v>1</v>
      </c>
      <c r="F157" s="0" t="s">
        <v>428</v>
      </c>
      <c r="G157" s="0" t="s">
        <v>367</v>
      </c>
      <c r="H157" s="0" t="s">
        <v>384</v>
      </c>
      <c r="I157" s="0" t="s">
        <v>431</v>
      </c>
      <c r="J157" s="0" t="s">
        <v>432</v>
      </c>
      <c r="K157" s="102" t="b">
        <f aca="false">TRUE()</f>
        <v>1</v>
      </c>
      <c r="L157" s="0" t="s">
        <v>433</v>
      </c>
    </row>
    <row r="158" customFormat="false" ht="15" hidden="false" customHeight="true" outlineLevel="0" collapsed="false">
      <c r="A158" s="0" t="s">
        <v>792</v>
      </c>
      <c r="B158" s="0" t="s">
        <v>793</v>
      </c>
      <c r="C158" s="0" t="s">
        <v>381</v>
      </c>
      <c r="D158" s="0" t="s">
        <v>406</v>
      </c>
      <c r="E158" s="102" t="b">
        <f aca="false">TRUE()</f>
        <v>1</v>
      </c>
      <c r="F158" s="0" t="s">
        <v>794</v>
      </c>
      <c r="G158" s="0" t="s">
        <v>367</v>
      </c>
      <c r="H158" s="0" t="s">
        <v>384</v>
      </c>
      <c r="I158" s="0" t="s">
        <v>431</v>
      </c>
      <c r="J158" s="0" t="s">
        <v>432</v>
      </c>
      <c r="K158" s="102" t="b">
        <f aca="false">TRUE()</f>
        <v>1</v>
      </c>
      <c r="L158" s="0" t="s">
        <v>433</v>
      </c>
    </row>
    <row r="159" customFormat="false" ht="15" hidden="false" customHeight="true" outlineLevel="0" collapsed="false">
      <c r="A159" s="0" t="s">
        <v>795</v>
      </c>
      <c r="B159" s="0" t="s">
        <v>796</v>
      </c>
      <c r="C159" s="0" t="s">
        <v>381</v>
      </c>
      <c r="D159" s="0" t="s">
        <v>406</v>
      </c>
      <c r="E159" s="102" t="b">
        <f aca="false">TRUE()</f>
        <v>1</v>
      </c>
      <c r="F159" s="0" t="s">
        <v>797</v>
      </c>
      <c r="G159" s="0" t="s">
        <v>367</v>
      </c>
      <c r="H159" s="0" t="s">
        <v>384</v>
      </c>
      <c r="I159" s="0" t="s">
        <v>431</v>
      </c>
      <c r="J159" s="0" t="s">
        <v>432</v>
      </c>
      <c r="K159" s="102" t="b">
        <f aca="false">TRUE()</f>
        <v>1</v>
      </c>
      <c r="L159" s="0" t="s">
        <v>433</v>
      </c>
    </row>
    <row r="160" customFormat="false" ht="15" hidden="false" customHeight="true" outlineLevel="0" collapsed="false">
      <c r="A160" s="0" t="s">
        <v>798</v>
      </c>
      <c r="B160" s="0" t="s">
        <v>799</v>
      </c>
      <c r="C160" s="0" t="s">
        <v>381</v>
      </c>
      <c r="D160" s="0" t="s">
        <v>406</v>
      </c>
      <c r="E160" s="102" t="b">
        <f aca="false">TRUE()</f>
        <v>1</v>
      </c>
      <c r="F160" s="0" t="s">
        <v>772</v>
      </c>
      <c r="G160" s="0" t="s">
        <v>367</v>
      </c>
      <c r="H160" s="0" t="s">
        <v>384</v>
      </c>
      <c r="I160" s="0" t="s">
        <v>431</v>
      </c>
      <c r="J160" s="0" t="s">
        <v>432</v>
      </c>
      <c r="K160" s="102" t="b">
        <f aca="false">TRUE()</f>
        <v>1</v>
      </c>
      <c r="L160" s="0" t="s">
        <v>433</v>
      </c>
    </row>
    <row r="161" customFormat="false" ht="15" hidden="false" customHeight="true" outlineLevel="0" collapsed="false">
      <c r="A161" s="0" t="s">
        <v>800</v>
      </c>
      <c r="B161" s="0" t="s">
        <v>801</v>
      </c>
      <c r="C161" s="0" t="s">
        <v>381</v>
      </c>
      <c r="D161" s="0" t="s">
        <v>406</v>
      </c>
      <c r="E161" s="102" t="b">
        <f aca="false">TRUE()</f>
        <v>1</v>
      </c>
      <c r="F161" s="0" t="s">
        <v>802</v>
      </c>
      <c r="G161" s="0" t="s">
        <v>367</v>
      </c>
      <c r="H161" s="0" t="s">
        <v>384</v>
      </c>
      <c r="I161" s="0" t="s">
        <v>431</v>
      </c>
      <c r="J161" s="0" t="s">
        <v>432</v>
      </c>
      <c r="K161" s="102" t="b">
        <f aca="false">TRUE()</f>
        <v>1</v>
      </c>
      <c r="L161" s="0" t="s">
        <v>433</v>
      </c>
    </row>
    <row r="162" customFormat="false" ht="15" hidden="false" customHeight="true" outlineLevel="0" collapsed="false">
      <c r="A162" s="0" t="s">
        <v>803</v>
      </c>
      <c r="B162" s="0" t="s">
        <v>804</v>
      </c>
      <c r="C162" s="0" t="s">
        <v>381</v>
      </c>
      <c r="D162" s="0" t="s">
        <v>406</v>
      </c>
      <c r="E162" s="102" t="b">
        <f aca="false">TRUE()</f>
        <v>1</v>
      </c>
      <c r="F162" s="0" t="s">
        <v>428</v>
      </c>
      <c r="G162" s="0" t="s">
        <v>367</v>
      </c>
      <c r="H162" s="0" t="s">
        <v>384</v>
      </c>
      <c r="I162" s="0" t="s">
        <v>385</v>
      </c>
      <c r="J162" s="0" t="s">
        <v>386</v>
      </c>
      <c r="K162" s="102" t="b">
        <f aca="false">TRUE()</f>
        <v>1</v>
      </c>
      <c r="L162" s="0" t="s">
        <v>371</v>
      </c>
    </row>
    <row r="163" customFormat="false" ht="15" hidden="false" customHeight="true" outlineLevel="0" collapsed="false">
      <c r="A163" s="0" t="s">
        <v>805</v>
      </c>
      <c r="B163" s="0" t="s">
        <v>806</v>
      </c>
      <c r="C163" s="0" t="s">
        <v>381</v>
      </c>
      <c r="D163" s="0" t="s">
        <v>406</v>
      </c>
      <c r="E163" s="102" t="b">
        <f aca="false">TRUE()</f>
        <v>1</v>
      </c>
      <c r="F163" s="0" t="s">
        <v>428</v>
      </c>
      <c r="G163" s="0" t="s">
        <v>367</v>
      </c>
      <c r="H163" s="0" t="s">
        <v>384</v>
      </c>
      <c r="I163" s="0" t="s">
        <v>431</v>
      </c>
      <c r="J163" s="0" t="s">
        <v>432</v>
      </c>
      <c r="K163" s="102" t="b">
        <f aca="false">TRUE()</f>
        <v>1</v>
      </c>
      <c r="L163" s="0" t="s">
        <v>433</v>
      </c>
    </row>
    <row r="164" customFormat="false" ht="15" hidden="false" customHeight="true" outlineLevel="0" collapsed="false">
      <c r="A164" s="0" t="s">
        <v>807</v>
      </c>
      <c r="B164" s="0" t="s">
        <v>808</v>
      </c>
      <c r="C164" s="0" t="s">
        <v>381</v>
      </c>
      <c r="D164" s="0" t="s">
        <v>406</v>
      </c>
      <c r="E164" s="102" t="b">
        <f aca="false">TRUE()</f>
        <v>1</v>
      </c>
      <c r="F164" s="0" t="s">
        <v>428</v>
      </c>
      <c r="G164" s="0" t="s">
        <v>367</v>
      </c>
      <c r="H164" s="0" t="s">
        <v>384</v>
      </c>
      <c r="I164" s="0" t="s">
        <v>431</v>
      </c>
      <c r="J164" s="0" t="s">
        <v>432</v>
      </c>
      <c r="K164" s="102" t="b">
        <f aca="false">TRUE()</f>
        <v>1</v>
      </c>
      <c r="L164" s="0" t="s">
        <v>433</v>
      </c>
    </row>
    <row r="165" customFormat="false" ht="15" hidden="false" customHeight="true" outlineLevel="0" collapsed="false">
      <c r="A165" s="0" t="s">
        <v>809</v>
      </c>
      <c r="B165" s="0" t="s">
        <v>810</v>
      </c>
      <c r="C165" s="0" t="s">
        <v>381</v>
      </c>
      <c r="D165" s="0" t="s">
        <v>406</v>
      </c>
      <c r="E165" s="102" t="b">
        <f aca="false">TRUE()</f>
        <v>1</v>
      </c>
      <c r="F165" s="0" t="s">
        <v>794</v>
      </c>
      <c r="G165" s="0" t="s">
        <v>367</v>
      </c>
      <c r="H165" s="0" t="s">
        <v>384</v>
      </c>
      <c r="I165" s="0" t="s">
        <v>431</v>
      </c>
      <c r="J165" s="0" t="s">
        <v>432</v>
      </c>
      <c r="K165" s="102" t="b">
        <f aca="false">TRUE()</f>
        <v>1</v>
      </c>
      <c r="L165" s="0" t="s">
        <v>433</v>
      </c>
    </row>
    <row r="166" customFormat="false" ht="15" hidden="false" customHeight="true" outlineLevel="0" collapsed="false">
      <c r="A166" s="0" t="s">
        <v>811</v>
      </c>
      <c r="B166" s="0" t="s">
        <v>812</v>
      </c>
      <c r="C166" s="0" t="s">
        <v>381</v>
      </c>
      <c r="D166" s="0" t="s">
        <v>406</v>
      </c>
      <c r="E166" s="102" t="b">
        <f aca="false">TRUE()</f>
        <v>1</v>
      </c>
      <c r="F166" s="0" t="s">
        <v>794</v>
      </c>
      <c r="G166" s="0" t="s">
        <v>367</v>
      </c>
      <c r="H166" s="0" t="s">
        <v>384</v>
      </c>
      <c r="I166" s="0" t="s">
        <v>431</v>
      </c>
      <c r="J166" s="0" t="s">
        <v>432</v>
      </c>
      <c r="K166" s="102" t="b">
        <f aca="false">TRUE()</f>
        <v>1</v>
      </c>
      <c r="L166" s="0" t="s">
        <v>433</v>
      </c>
    </row>
    <row r="167" customFormat="false" ht="15" hidden="false" customHeight="true" outlineLevel="0" collapsed="false">
      <c r="A167" s="0" t="s">
        <v>813</v>
      </c>
      <c r="B167" s="0" t="s">
        <v>814</v>
      </c>
      <c r="C167" s="0" t="s">
        <v>381</v>
      </c>
      <c r="D167" s="0" t="s">
        <v>406</v>
      </c>
      <c r="E167" s="102" t="b">
        <f aca="false">TRUE()</f>
        <v>1</v>
      </c>
      <c r="F167" s="0" t="s">
        <v>802</v>
      </c>
      <c r="G167" s="0" t="s">
        <v>367</v>
      </c>
      <c r="H167" s="0" t="s">
        <v>384</v>
      </c>
      <c r="I167" s="0" t="s">
        <v>385</v>
      </c>
      <c r="J167" s="0" t="s">
        <v>386</v>
      </c>
      <c r="K167" s="102" t="b">
        <f aca="false">TRUE()</f>
        <v>1</v>
      </c>
      <c r="L167" s="0" t="s">
        <v>371</v>
      </c>
    </row>
    <row r="168" customFormat="false" ht="15" hidden="false" customHeight="true" outlineLevel="0" collapsed="false">
      <c r="A168" s="0" t="s">
        <v>815</v>
      </c>
      <c r="B168" s="0" t="s">
        <v>816</v>
      </c>
      <c r="C168" s="0" t="s">
        <v>381</v>
      </c>
      <c r="D168" s="0" t="s">
        <v>406</v>
      </c>
      <c r="E168" s="102" t="b">
        <f aca="false">TRUE()</f>
        <v>1</v>
      </c>
      <c r="F168" s="0" t="s">
        <v>817</v>
      </c>
      <c r="G168" s="0" t="s">
        <v>367</v>
      </c>
      <c r="H168" s="0" t="s">
        <v>384</v>
      </c>
      <c r="I168" s="0" t="s">
        <v>431</v>
      </c>
      <c r="J168" s="0" t="s">
        <v>432</v>
      </c>
      <c r="K168" s="102" t="b">
        <f aca="false">TRUE()</f>
        <v>1</v>
      </c>
      <c r="L168" s="0" t="s">
        <v>433</v>
      </c>
    </row>
    <row r="169" customFormat="false" ht="15" hidden="false" customHeight="true" outlineLevel="0" collapsed="false">
      <c r="A169" s="0" t="s">
        <v>818</v>
      </c>
      <c r="B169" s="0" t="s">
        <v>819</v>
      </c>
      <c r="C169" s="0" t="s">
        <v>381</v>
      </c>
      <c r="D169" s="0" t="s">
        <v>406</v>
      </c>
      <c r="E169" s="102" t="b">
        <f aca="false">TRUE()</f>
        <v>1</v>
      </c>
      <c r="F169" s="0" t="s">
        <v>802</v>
      </c>
      <c r="G169" s="0" t="s">
        <v>367</v>
      </c>
      <c r="H169" s="0" t="s">
        <v>384</v>
      </c>
      <c r="I169" s="0" t="s">
        <v>431</v>
      </c>
      <c r="J169" s="0" t="s">
        <v>432</v>
      </c>
      <c r="K169" s="102" t="b">
        <f aca="false">TRUE()</f>
        <v>1</v>
      </c>
      <c r="L169" s="0" t="s">
        <v>433</v>
      </c>
    </row>
    <row r="170" customFormat="false" ht="15" hidden="false" customHeight="true" outlineLevel="0" collapsed="false">
      <c r="A170" s="0" t="s">
        <v>820</v>
      </c>
      <c r="B170" s="0" t="s">
        <v>821</v>
      </c>
      <c r="C170" s="0" t="s">
        <v>381</v>
      </c>
      <c r="D170" s="0" t="s">
        <v>406</v>
      </c>
      <c r="E170" s="102" t="b">
        <f aca="false">TRUE()</f>
        <v>1</v>
      </c>
      <c r="F170" s="0" t="s">
        <v>802</v>
      </c>
      <c r="G170" s="0" t="s">
        <v>367</v>
      </c>
      <c r="H170" s="0" t="s">
        <v>384</v>
      </c>
      <c r="I170" s="0" t="s">
        <v>431</v>
      </c>
      <c r="J170" s="0" t="s">
        <v>432</v>
      </c>
      <c r="K170" s="102" t="b">
        <f aca="false">TRUE()</f>
        <v>1</v>
      </c>
      <c r="L170" s="0" t="s">
        <v>433</v>
      </c>
    </row>
    <row r="171" customFormat="false" ht="15" hidden="false" customHeight="true" outlineLevel="0" collapsed="false">
      <c r="A171" s="0" t="s">
        <v>822</v>
      </c>
      <c r="B171" s="0" t="s">
        <v>823</v>
      </c>
      <c r="C171" s="0" t="s">
        <v>381</v>
      </c>
      <c r="D171" s="0" t="s">
        <v>406</v>
      </c>
      <c r="E171" s="102" t="b">
        <f aca="false">TRUE()</f>
        <v>1</v>
      </c>
      <c r="F171" s="0" t="s">
        <v>824</v>
      </c>
      <c r="G171" s="0" t="s">
        <v>367</v>
      </c>
      <c r="H171" s="0" t="s">
        <v>384</v>
      </c>
      <c r="I171" s="0" t="s">
        <v>385</v>
      </c>
      <c r="J171" s="0" t="s">
        <v>386</v>
      </c>
      <c r="K171" s="102" t="b">
        <f aca="false">TRUE()</f>
        <v>1</v>
      </c>
      <c r="L171" s="0" t="s">
        <v>371</v>
      </c>
    </row>
    <row r="172" customFormat="false" ht="15" hidden="false" customHeight="true" outlineLevel="0" collapsed="false">
      <c r="A172" s="0" t="s">
        <v>825</v>
      </c>
      <c r="B172" s="0" t="s">
        <v>826</v>
      </c>
      <c r="C172" s="0" t="s">
        <v>381</v>
      </c>
      <c r="D172" s="0" t="s">
        <v>406</v>
      </c>
      <c r="E172" s="102" t="b">
        <f aca="false">TRUE()</f>
        <v>1</v>
      </c>
      <c r="F172" s="0" t="s">
        <v>827</v>
      </c>
      <c r="G172" s="0" t="s">
        <v>367</v>
      </c>
      <c r="H172" s="0" t="s">
        <v>384</v>
      </c>
      <c r="I172" s="0" t="s">
        <v>431</v>
      </c>
      <c r="J172" s="0" t="s">
        <v>432</v>
      </c>
      <c r="K172" s="102" t="b">
        <f aca="false">TRUE()</f>
        <v>1</v>
      </c>
      <c r="L172" s="0" t="s">
        <v>433</v>
      </c>
    </row>
    <row r="173" customFormat="false" ht="15" hidden="false" customHeight="true" outlineLevel="0" collapsed="false">
      <c r="A173" s="0" t="s">
        <v>828</v>
      </c>
      <c r="B173" s="0" t="s">
        <v>829</v>
      </c>
      <c r="C173" s="0" t="s">
        <v>381</v>
      </c>
      <c r="D173" s="0" t="s">
        <v>406</v>
      </c>
      <c r="E173" s="102" t="b">
        <f aca="false">TRUE()</f>
        <v>1</v>
      </c>
      <c r="F173" s="0" t="s">
        <v>830</v>
      </c>
      <c r="G173" s="0" t="s">
        <v>367</v>
      </c>
      <c r="H173" s="0" t="s">
        <v>384</v>
      </c>
      <c r="I173" s="0" t="s">
        <v>431</v>
      </c>
      <c r="J173" s="0" t="s">
        <v>432</v>
      </c>
      <c r="K173" s="102" t="b">
        <f aca="false">TRUE()</f>
        <v>1</v>
      </c>
      <c r="L173" s="0" t="s">
        <v>433</v>
      </c>
    </row>
    <row r="174" customFormat="false" ht="15" hidden="false" customHeight="true" outlineLevel="0" collapsed="false">
      <c r="A174" s="0" t="s">
        <v>831</v>
      </c>
      <c r="B174" s="0" t="s">
        <v>832</v>
      </c>
      <c r="C174" s="0" t="s">
        <v>381</v>
      </c>
      <c r="D174" s="0" t="s">
        <v>406</v>
      </c>
      <c r="E174" s="102" t="b">
        <f aca="false">TRUE()</f>
        <v>1</v>
      </c>
      <c r="F174" s="0" t="s">
        <v>833</v>
      </c>
      <c r="G174" s="0" t="s">
        <v>367</v>
      </c>
      <c r="H174" s="0" t="s">
        <v>384</v>
      </c>
      <c r="I174" s="0" t="s">
        <v>431</v>
      </c>
      <c r="J174" s="0" t="s">
        <v>432</v>
      </c>
      <c r="K174" s="102" t="b">
        <f aca="false">TRUE()</f>
        <v>1</v>
      </c>
      <c r="L174" s="0" t="s">
        <v>433</v>
      </c>
    </row>
    <row r="175" customFormat="false" ht="15" hidden="false" customHeight="true" outlineLevel="0" collapsed="false">
      <c r="A175" s="0" t="s">
        <v>834</v>
      </c>
      <c r="B175" s="0" t="s">
        <v>835</v>
      </c>
      <c r="C175" s="0" t="s">
        <v>381</v>
      </c>
      <c r="D175" s="0" t="s">
        <v>406</v>
      </c>
      <c r="E175" s="102" t="b">
        <f aca="false">TRUE()</f>
        <v>1</v>
      </c>
      <c r="F175" s="0" t="s">
        <v>836</v>
      </c>
      <c r="G175" s="0" t="s">
        <v>367</v>
      </c>
      <c r="H175" s="0" t="s">
        <v>384</v>
      </c>
      <c r="I175" s="0" t="s">
        <v>431</v>
      </c>
      <c r="J175" s="0" t="s">
        <v>432</v>
      </c>
      <c r="K175" s="102" t="b">
        <f aca="false">TRUE()</f>
        <v>1</v>
      </c>
      <c r="L175" s="0" t="s">
        <v>433</v>
      </c>
    </row>
    <row r="176" customFormat="false" ht="15" hidden="false" customHeight="true" outlineLevel="0" collapsed="false">
      <c r="A176" s="0" t="s">
        <v>837</v>
      </c>
      <c r="B176" s="0" t="s">
        <v>838</v>
      </c>
      <c r="C176" s="0" t="s">
        <v>381</v>
      </c>
      <c r="D176" s="0" t="s">
        <v>406</v>
      </c>
      <c r="E176" s="102" t="b">
        <f aca="false">TRUE()</f>
        <v>1</v>
      </c>
      <c r="F176" s="0" t="s">
        <v>839</v>
      </c>
      <c r="G176" s="0" t="s">
        <v>367</v>
      </c>
      <c r="H176" s="0" t="s">
        <v>384</v>
      </c>
      <c r="I176" s="0" t="s">
        <v>431</v>
      </c>
      <c r="J176" s="0" t="s">
        <v>432</v>
      </c>
      <c r="K176" s="102" t="b">
        <f aca="false">TRUE()</f>
        <v>1</v>
      </c>
      <c r="L176" s="0" t="s">
        <v>433</v>
      </c>
    </row>
    <row r="177" customFormat="false" ht="15" hidden="false" customHeight="true" outlineLevel="0" collapsed="false">
      <c r="A177" s="0" t="s">
        <v>840</v>
      </c>
      <c r="B177" s="0" t="s">
        <v>841</v>
      </c>
      <c r="C177" s="0" t="s">
        <v>381</v>
      </c>
      <c r="D177" s="0" t="s">
        <v>406</v>
      </c>
      <c r="E177" s="102" t="b">
        <f aca="false">TRUE()</f>
        <v>1</v>
      </c>
      <c r="F177" s="0" t="s">
        <v>842</v>
      </c>
      <c r="G177" s="0" t="s">
        <v>367</v>
      </c>
      <c r="H177" s="0" t="s">
        <v>384</v>
      </c>
      <c r="I177" s="0" t="s">
        <v>385</v>
      </c>
      <c r="J177" s="0" t="s">
        <v>386</v>
      </c>
      <c r="K177" s="102" t="b">
        <f aca="false">TRUE()</f>
        <v>1</v>
      </c>
      <c r="L177" s="0" t="s">
        <v>371</v>
      </c>
    </row>
    <row r="178" customFormat="false" ht="15" hidden="false" customHeight="true" outlineLevel="0" collapsed="false">
      <c r="A178" s="0" t="s">
        <v>843</v>
      </c>
      <c r="B178" s="0" t="s">
        <v>844</v>
      </c>
      <c r="C178" s="0" t="s">
        <v>381</v>
      </c>
      <c r="D178" s="0" t="s">
        <v>406</v>
      </c>
      <c r="E178" s="102" t="b">
        <f aca="false">TRUE()</f>
        <v>1</v>
      </c>
      <c r="F178" s="0" t="s">
        <v>842</v>
      </c>
      <c r="G178" s="0" t="s">
        <v>367</v>
      </c>
      <c r="H178" s="0" t="s">
        <v>384</v>
      </c>
      <c r="I178" s="0" t="s">
        <v>431</v>
      </c>
      <c r="J178" s="0" t="s">
        <v>432</v>
      </c>
      <c r="K178" s="102" t="b">
        <f aca="false">TRUE()</f>
        <v>1</v>
      </c>
      <c r="L178" s="0" t="s">
        <v>433</v>
      </c>
    </row>
    <row r="179" customFormat="false" ht="15" hidden="false" customHeight="true" outlineLevel="0" collapsed="false">
      <c r="A179" s="0" t="s">
        <v>845</v>
      </c>
      <c r="B179" s="0" t="s">
        <v>846</v>
      </c>
      <c r="C179" s="0" t="s">
        <v>381</v>
      </c>
      <c r="D179" s="0" t="s">
        <v>406</v>
      </c>
      <c r="E179" s="102" t="b">
        <f aca="false">TRUE()</f>
        <v>1</v>
      </c>
      <c r="F179" s="0" t="s">
        <v>842</v>
      </c>
      <c r="G179" s="0" t="s">
        <v>367</v>
      </c>
      <c r="H179" s="0" t="s">
        <v>384</v>
      </c>
      <c r="I179" s="0" t="s">
        <v>431</v>
      </c>
      <c r="J179" s="0" t="s">
        <v>432</v>
      </c>
      <c r="K179" s="102" t="b">
        <f aca="false">TRUE()</f>
        <v>1</v>
      </c>
      <c r="L179" s="0" t="s">
        <v>433</v>
      </c>
    </row>
    <row r="180" customFormat="false" ht="15" hidden="false" customHeight="true" outlineLevel="0" collapsed="false">
      <c r="A180" s="0" t="s">
        <v>847</v>
      </c>
      <c r="B180" s="0" t="s">
        <v>848</v>
      </c>
      <c r="C180" s="0" t="s">
        <v>381</v>
      </c>
      <c r="D180" s="0" t="s">
        <v>406</v>
      </c>
      <c r="E180" s="102" t="b">
        <f aca="false">TRUE()</f>
        <v>1</v>
      </c>
      <c r="F180" s="0" t="s">
        <v>842</v>
      </c>
      <c r="G180" s="0" t="s">
        <v>367</v>
      </c>
      <c r="H180" s="0" t="s">
        <v>384</v>
      </c>
      <c r="I180" s="0" t="s">
        <v>431</v>
      </c>
      <c r="J180" s="0" t="s">
        <v>432</v>
      </c>
      <c r="K180" s="102" t="b">
        <f aca="false">TRUE()</f>
        <v>1</v>
      </c>
      <c r="L180" s="0" t="s">
        <v>433</v>
      </c>
    </row>
    <row r="181" customFormat="false" ht="15" hidden="false" customHeight="true" outlineLevel="0" collapsed="false">
      <c r="A181" s="0" t="s">
        <v>849</v>
      </c>
      <c r="B181" s="0" t="s">
        <v>850</v>
      </c>
      <c r="C181" s="0" t="s">
        <v>381</v>
      </c>
      <c r="D181" s="0" t="s">
        <v>406</v>
      </c>
      <c r="E181" s="102" t="b">
        <f aca="false">TRUE()</f>
        <v>1</v>
      </c>
      <c r="F181" s="0" t="s">
        <v>842</v>
      </c>
      <c r="G181" s="0" t="s">
        <v>367</v>
      </c>
      <c r="H181" s="0" t="s">
        <v>384</v>
      </c>
      <c r="I181" s="0" t="s">
        <v>431</v>
      </c>
      <c r="J181" s="0" t="s">
        <v>432</v>
      </c>
      <c r="K181" s="102" t="b">
        <f aca="false">TRUE()</f>
        <v>1</v>
      </c>
      <c r="L181" s="0" t="s">
        <v>433</v>
      </c>
    </row>
    <row r="182" customFormat="false" ht="15" hidden="false" customHeight="true" outlineLevel="0" collapsed="false">
      <c r="A182" s="0" t="s">
        <v>851</v>
      </c>
      <c r="B182" s="0" t="s">
        <v>852</v>
      </c>
      <c r="C182" s="0" t="s">
        <v>381</v>
      </c>
      <c r="D182" s="0" t="s">
        <v>406</v>
      </c>
      <c r="E182" s="102" t="b">
        <f aca="false">TRUE()</f>
        <v>1</v>
      </c>
      <c r="F182" s="0" t="s">
        <v>853</v>
      </c>
      <c r="G182" s="0" t="s">
        <v>367</v>
      </c>
      <c r="H182" s="0" t="s">
        <v>384</v>
      </c>
      <c r="I182" s="0" t="s">
        <v>431</v>
      </c>
      <c r="J182" s="0" t="s">
        <v>432</v>
      </c>
      <c r="K182" s="102" t="b">
        <f aca="false">TRUE()</f>
        <v>1</v>
      </c>
      <c r="L182" s="0" t="s">
        <v>433</v>
      </c>
    </row>
    <row r="183" customFormat="false" ht="15" hidden="false" customHeight="true" outlineLevel="0" collapsed="false">
      <c r="A183" s="0" t="s">
        <v>854</v>
      </c>
      <c r="B183" s="0" t="s">
        <v>855</v>
      </c>
      <c r="C183" s="0" t="s">
        <v>381</v>
      </c>
      <c r="D183" s="0" t="s">
        <v>406</v>
      </c>
      <c r="E183" s="102" t="b">
        <f aca="false">TRUE()</f>
        <v>1</v>
      </c>
      <c r="F183" s="0" t="s">
        <v>856</v>
      </c>
      <c r="G183" s="0" t="s">
        <v>367</v>
      </c>
      <c r="H183" s="0" t="s">
        <v>384</v>
      </c>
      <c r="I183" s="0" t="s">
        <v>385</v>
      </c>
      <c r="J183" s="0" t="s">
        <v>386</v>
      </c>
      <c r="K183" s="102" t="b">
        <f aca="false">TRUE()</f>
        <v>1</v>
      </c>
      <c r="L183" s="0" t="s">
        <v>371</v>
      </c>
    </row>
    <row r="184" customFormat="false" ht="15" hidden="false" customHeight="true" outlineLevel="0" collapsed="false">
      <c r="A184" s="0" t="s">
        <v>857</v>
      </c>
      <c r="B184" s="0" t="s">
        <v>858</v>
      </c>
      <c r="C184" s="0" t="s">
        <v>381</v>
      </c>
      <c r="D184" s="0" t="s">
        <v>406</v>
      </c>
      <c r="E184" s="102" t="b">
        <f aca="false">TRUE()</f>
        <v>1</v>
      </c>
      <c r="F184" s="0" t="s">
        <v>425</v>
      </c>
      <c r="G184" s="0" t="s">
        <v>367</v>
      </c>
      <c r="H184" s="0" t="s">
        <v>384</v>
      </c>
      <c r="I184" s="0" t="s">
        <v>385</v>
      </c>
      <c r="J184" s="0" t="s">
        <v>386</v>
      </c>
      <c r="K184" s="102" t="b">
        <f aca="false">TRUE()</f>
        <v>1</v>
      </c>
      <c r="L184" s="0" t="s">
        <v>371</v>
      </c>
    </row>
    <row r="185" customFormat="false" ht="15" hidden="false" customHeight="true" outlineLevel="0" collapsed="false">
      <c r="A185" s="0" t="s">
        <v>859</v>
      </c>
      <c r="B185" s="0" t="s">
        <v>860</v>
      </c>
      <c r="C185" s="0" t="s">
        <v>381</v>
      </c>
      <c r="D185" s="0" t="s">
        <v>406</v>
      </c>
      <c r="E185" s="102" t="b">
        <f aca="false">TRUE()</f>
        <v>1</v>
      </c>
      <c r="F185" s="0" t="s">
        <v>425</v>
      </c>
      <c r="G185" s="0" t="s">
        <v>367</v>
      </c>
      <c r="H185" s="0" t="s">
        <v>384</v>
      </c>
      <c r="I185" s="0" t="s">
        <v>385</v>
      </c>
      <c r="J185" s="0" t="s">
        <v>386</v>
      </c>
      <c r="K185" s="102" t="b">
        <f aca="false">TRUE()</f>
        <v>1</v>
      </c>
      <c r="L185" s="0" t="s">
        <v>371</v>
      </c>
    </row>
    <row r="186" customFormat="false" ht="15" hidden="false" customHeight="true" outlineLevel="0" collapsed="false">
      <c r="A186" s="0" t="s">
        <v>861</v>
      </c>
      <c r="B186" s="0" t="s">
        <v>862</v>
      </c>
      <c r="C186" s="0" t="s">
        <v>381</v>
      </c>
      <c r="D186" s="0" t="s">
        <v>406</v>
      </c>
      <c r="E186" s="102" t="b">
        <f aca="false">TRUE()</f>
        <v>1</v>
      </c>
      <c r="F186" s="0" t="s">
        <v>425</v>
      </c>
      <c r="G186" s="0" t="s">
        <v>367</v>
      </c>
      <c r="H186" s="0" t="s">
        <v>384</v>
      </c>
      <c r="I186" s="0" t="s">
        <v>385</v>
      </c>
      <c r="J186" s="0" t="s">
        <v>386</v>
      </c>
      <c r="K186" s="102" t="b">
        <f aca="false">TRUE()</f>
        <v>1</v>
      </c>
      <c r="L186" s="0" t="s">
        <v>371</v>
      </c>
    </row>
    <row r="187" customFormat="false" ht="15" hidden="false" customHeight="true" outlineLevel="0" collapsed="false">
      <c r="A187" s="0" t="s">
        <v>863</v>
      </c>
      <c r="B187" s="0" t="s">
        <v>864</v>
      </c>
      <c r="C187" s="0" t="s">
        <v>381</v>
      </c>
      <c r="D187" s="0" t="s">
        <v>406</v>
      </c>
      <c r="E187" s="102" t="b">
        <f aca="false">TRUE()</f>
        <v>1</v>
      </c>
      <c r="F187" s="0" t="s">
        <v>425</v>
      </c>
      <c r="G187" s="0" t="s">
        <v>367</v>
      </c>
      <c r="H187" s="0" t="s">
        <v>384</v>
      </c>
      <c r="I187" s="0" t="s">
        <v>385</v>
      </c>
      <c r="J187" s="0" t="s">
        <v>386</v>
      </c>
      <c r="K187" s="102" t="b">
        <f aca="false">TRUE()</f>
        <v>1</v>
      </c>
      <c r="L187" s="0" t="s">
        <v>371</v>
      </c>
    </row>
    <row r="188" customFormat="false" ht="15" hidden="false" customHeight="true" outlineLevel="0" collapsed="false">
      <c r="A188" s="0" t="s">
        <v>865</v>
      </c>
      <c r="B188" s="0" t="s">
        <v>866</v>
      </c>
      <c r="C188" s="0" t="s">
        <v>381</v>
      </c>
      <c r="D188" s="0" t="s">
        <v>406</v>
      </c>
      <c r="E188" s="102" t="b">
        <f aca="false">TRUE()</f>
        <v>1</v>
      </c>
      <c r="F188" s="0" t="s">
        <v>425</v>
      </c>
      <c r="G188" s="0" t="s">
        <v>367</v>
      </c>
      <c r="H188" s="0" t="s">
        <v>384</v>
      </c>
      <c r="I188" s="0" t="s">
        <v>385</v>
      </c>
      <c r="J188" s="0" t="s">
        <v>386</v>
      </c>
      <c r="K188" s="102" t="b">
        <f aca="false">TRUE()</f>
        <v>1</v>
      </c>
      <c r="L188" s="0" t="s">
        <v>371</v>
      </c>
    </row>
    <row r="189" customFormat="false" ht="15" hidden="false" customHeight="true" outlineLevel="0" collapsed="false">
      <c r="A189" s="0" t="s">
        <v>867</v>
      </c>
      <c r="B189" s="0" t="s">
        <v>868</v>
      </c>
      <c r="C189" s="0" t="s">
        <v>381</v>
      </c>
      <c r="D189" s="0" t="s">
        <v>406</v>
      </c>
      <c r="E189" s="102" t="b">
        <f aca="false">TRUE()</f>
        <v>1</v>
      </c>
      <c r="F189" s="0" t="s">
        <v>425</v>
      </c>
      <c r="G189" s="0" t="s">
        <v>367</v>
      </c>
      <c r="H189" s="0" t="s">
        <v>384</v>
      </c>
      <c r="I189" s="0" t="s">
        <v>385</v>
      </c>
      <c r="J189" s="0" t="s">
        <v>386</v>
      </c>
      <c r="K189" s="102" t="b">
        <f aca="false">TRUE()</f>
        <v>1</v>
      </c>
      <c r="L189" s="0" t="s">
        <v>371</v>
      </c>
    </row>
    <row r="190" customFormat="false" ht="15" hidden="false" customHeight="true" outlineLevel="0" collapsed="false">
      <c r="A190" s="0" t="s">
        <v>869</v>
      </c>
      <c r="B190" s="0" t="s">
        <v>430</v>
      </c>
      <c r="C190" s="0" t="s">
        <v>381</v>
      </c>
      <c r="D190" s="0" t="s">
        <v>367</v>
      </c>
      <c r="E190" s="102" t="b">
        <f aca="false">FALSE()</f>
        <v>0</v>
      </c>
      <c r="G190" s="0" t="s">
        <v>367</v>
      </c>
      <c r="H190" s="0" t="s">
        <v>384</v>
      </c>
      <c r="I190" s="0" t="s">
        <v>870</v>
      </c>
      <c r="J190" s="0" t="s">
        <v>871</v>
      </c>
      <c r="K190" s="102" t="b">
        <f aca="false">TRUE()</f>
        <v>1</v>
      </c>
      <c r="L190" s="0" t="s">
        <v>371</v>
      </c>
    </row>
    <row r="191" customFormat="false" ht="15" hidden="false" customHeight="true" outlineLevel="0" collapsed="false">
      <c r="A191" s="0" t="s">
        <v>872</v>
      </c>
      <c r="B191" s="0" t="s">
        <v>453</v>
      </c>
      <c r="C191" s="0" t="s">
        <v>381</v>
      </c>
      <c r="D191" s="0" t="s">
        <v>367</v>
      </c>
      <c r="E191" s="102" t="b">
        <f aca="false">FALSE()</f>
        <v>0</v>
      </c>
      <c r="G191" s="0" t="s">
        <v>367</v>
      </c>
      <c r="H191" s="0" t="s">
        <v>384</v>
      </c>
      <c r="I191" s="0" t="s">
        <v>870</v>
      </c>
      <c r="J191" s="0" t="s">
        <v>871</v>
      </c>
      <c r="K191" s="102" t="b">
        <f aca="false">TRUE()</f>
        <v>1</v>
      </c>
      <c r="L191" s="0" t="s">
        <v>371</v>
      </c>
    </row>
    <row r="192" customFormat="false" ht="15" hidden="false" customHeight="true" outlineLevel="0" collapsed="false">
      <c r="A192" s="0" t="s">
        <v>873</v>
      </c>
      <c r="B192" s="0" t="s">
        <v>475</v>
      </c>
      <c r="C192" s="0" t="s">
        <v>381</v>
      </c>
      <c r="D192" s="0" t="s">
        <v>367</v>
      </c>
      <c r="E192" s="102" t="b">
        <f aca="false">FALSE()</f>
        <v>0</v>
      </c>
      <c r="G192" s="0" t="s">
        <v>367</v>
      </c>
      <c r="H192" s="0" t="s">
        <v>384</v>
      </c>
      <c r="I192" s="0" t="s">
        <v>870</v>
      </c>
      <c r="J192" s="0" t="s">
        <v>871</v>
      </c>
      <c r="K192" s="102" t="b">
        <f aca="false">TRUE()</f>
        <v>1</v>
      </c>
      <c r="L192" s="0" t="s">
        <v>371</v>
      </c>
    </row>
    <row r="193" customFormat="false" ht="15" hidden="false" customHeight="true" outlineLevel="0" collapsed="false">
      <c r="A193" s="0" t="s">
        <v>874</v>
      </c>
      <c r="B193" s="0" t="s">
        <v>495</v>
      </c>
      <c r="C193" s="0" t="s">
        <v>381</v>
      </c>
      <c r="D193" s="0" t="s">
        <v>367</v>
      </c>
      <c r="E193" s="102" t="b">
        <f aca="false">FALSE()</f>
        <v>0</v>
      </c>
      <c r="G193" s="0" t="s">
        <v>367</v>
      </c>
      <c r="H193" s="0" t="s">
        <v>384</v>
      </c>
      <c r="I193" s="0" t="s">
        <v>870</v>
      </c>
      <c r="J193" s="0" t="s">
        <v>871</v>
      </c>
      <c r="K193" s="102" t="b">
        <f aca="false">TRUE()</f>
        <v>1</v>
      </c>
      <c r="L193" s="0" t="s">
        <v>371</v>
      </c>
    </row>
    <row r="194" customFormat="false" ht="15" hidden="false" customHeight="true" outlineLevel="0" collapsed="false">
      <c r="A194" s="0" t="s">
        <v>875</v>
      </c>
      <c r="B194" s="0" t="s">
        <v>435</v>
      </c>
      <c r="C194" s="0" t="s">
        <v>381</v>
      </c>
      <c r="D194" s="0" t="s">
        <v>367</v>
      </c>
      <c r="E194" s="102" t="b">
        <f aca="false">FALSE()</f>
        <v>0</v>
      </c>
      <c r="G194" s="0" t="s">
        <v>367</v>
      </c>
      <c r="H194" s="0" t="s">
        <v>384</v>
      </c>
      <c r="I194" s="0" t="s">
        <v>870</v>
      </c>
      <c r="J194" s="0" t="s">
        <v>871</v>
      </c>
      <c r="K194" s="102" t="b">
        <f aca="false">TRUE()</f>
        <v>1</v>
      </c>
      <c r="L194" s="0" t="s">
        <v>371</v>
      </c>
    </row>
    <row r="195" customFormat="false" ht="15" hidden="false" customHeight="true" outlineLevel="0" collapsed="false">
      <c r="A195" s="0" t="s">
        <v>876</v>
      </c>
      <c r="B195" s="0" t="s">
        <v>455</v>
      </c>
      <c r="C195" s="0" t="s">
        <v>381</v>
      </c>
      <c r="D195" s="0" t="s">
        <v>367</v>
      </c>
      <c r="E195" s="102" t="b">
        <f aca="false">FALSE()</f>
        <v>0</v>
      </c>
      <c r="G195" s="0" t="s">
        <v>367</v>
      </c>
      <c r="H195" s="0" t="s">
        <v>384</v>
      </c>
      <c r="I195" s="0" t="s">
        <v>870</v>
      </c>
      <c r="J195" s="0" t="s">
        <v>871</v>
      </c>
      <c r="K195" s="102" t="b">
        <f aca="false">TRUE()</f>
        <v>1</v>
      </c>
      <c r="L195" s="0" t="s">
        <v>371</v>
      </c>
    </row>
    <row r="196" customFormat="false" ht="15" hidden="false" customHeight="true" outlineLevel="0" collapsed="false">
      <c r="A196" s="0" t="s">
        <v>877</v>
      </c>
      <c r="B196" s="0" t="s">
        <v>477</v>
      </c>
      <c r="C196" s="0" t="s">
        <v>381</v>
      </c>
      <c r="D196" s="0" t="s">
        <v>367</v>
      </c>
      <c r="E196" s="102" t="b">
        <f aca="false">FALSE()</f>
        <v>0</v>
      </c>
      <c r="G196" s="0" t="s">
        <v>367</v>
      </c>
      <c r="H196" s="0" t="s">
        <v>384</v>
      </c>
      <c r="I196" s="0" t="s">
        <v>870</v>
      </c>
      <c r="J196" s="0" t="s">
        <v>871</v>
      </c>
      <c r="K196" s="102" t="b">
        <f aca="false">TRUE()</f>
        <v>1</v>
      </c>
      <c r="L196" s="0" t="s">
        <v>371</v>
      </c>
    </row>
    <row r="197" customFormat="false" ht="15" hidden="false" customHeight="true" outlineLevel="0" collapsed="false">
      <c r="A197" s="0" t="s">
        <v>878</v>
      </c>
      <c r="B197" s="0" t="s">
        <v>497</v>
      </c>
      <c r="C197" s="0" t="s">
        <v>381</v>
      </c>
      <c r="D197" s="0" t="s">
        <v>367</v>
      </c>
      <c r="E197" s="102" t="b">
        <f aca="false">FALSE()</f>
        <v>0</v>
      </c>
      <c r="G197" s="0" t="s">
        <v>367</v>
      </c>
      <c r="H197" s="0" t="s">
        <v>384</v>
      </c>
      <c r="I197" s="0" t="s">
        <v>870</v>
      </c>
      <c r="J197" s="0" t="s">
        <v>871</v>
      </c>
      <c r="K197" s="102" t="b">
        <f aca="false">TRUE()</f>
        <v>1</v>
      </c>
      <c r="L197" s="0" t="s">
        <v>371</v>
      </c>
    </row>
    <row r="198" customFormat="false" ht="15" hidden="false" customHeight="true" outlineLevel="0" collapsed="false">
      <c r="A198" s="0" t="s">
        <v>879</v>
      </c>
      <c r="B198" s="0" t="s">
        <v>437</v>
      </c>
      <c r="C198" s="0" t="s">
        <v>381</v>
      </c>
      <c r="D198" s="0" t="s">
        <v>367</v>
      </c>
      <c r="E198" s="102" t="b">
        <f aca="false">FALSE()</f>
        <v>0</v>
      </c>
      <c r="G198" s="0" t="s">
        <v>367</v>
      </c>
      <c r="H198" s="0" t="s">
        <v>384</v>
      </c>
      <c r="I198" s="0" t="s">
        <v>870</v>
      </c>
      <c r="J198" s="0" t="s">
        <v>871</v>
      </c>
      <c r="K198" s="102" t="b">
        <f aca="false">TRUE()</f>
        <v>1</v>
      </c>
      <c r="L198" s="0" t="s">
        <v>371</v>
      </c>
    </row>
    <row r="199" customFormat="false" ht="15" hidden="false" customHeight="true" outlineLevel="0" collapsed="false">
      <c r="A199" s="0" t="s">
        <v>880</v>
      </c>
      <c r="B199" s="0" t="s">
        <v>457</v>
      </c>
      <c r="C199" s="0" t="s">
        <v>381</v>
      </c>
      <c r="D199" s="0" t="s">
        <v>367</v>
      </c>
      <c r="E199" s="102" t="b">
        <f aca="false">FALSE()</f>
        <v>0</v>
      </c>
      <c r="G199" s="0" t="s">
        <v>367</v>
      </c>
      <c r="H199" s="0" t="s">
        <v>384</v>
      </c>
      <c r="I199" s="0" t="s">
        <v>870</v>
      </c>
      <c r="J199" s="0" t="s">
        <v>871</v>
      </c>
      <c r="K199" s="102" t="b">
        <f aca="false">TRUE()</f>
        <v>1</v>
      </c>
      <c r="L199" s="0" t="s">
        <v>371</v>
      </c>
    </row>
    <row r="200" customFormat="false" ht="15" hidden="false" customHeight="true" outlineLevel="0" collapsed="false">
      <c r="A200" s="0" t="s">
        <v>881</v>
      </c>
      <c r="B200" s="0" t="s">
        <v>479</v>
      </c>
      <c r="C200" s="0" t="s">
        <v>381</v>
      </c>
      <c r="D200" s="0" t="s">
        <v>367</v>
      </c>
      <c r="E200" s="102" t="b">
        <f aca="false">FALSE()</f>
        <v>0</v>
      </c>
      <c r="G200" s="0" t="s">
        <v>367</v>
      </c>
      <c r="H200" s="0" t="s">
        <v>384</v>
      </c>
      <c r="I200" s="0" t="s">
        <v>870</v>
      </c>
      <c r="J200" s="0" t="s">
        <v>871</v>
      </c>
      <c r="K200" s="102" t="b">
        <f aca="false">TRUE()</f>
        <v>1</v>
      </c>
      <c r="L200" s="0" t="s">
        <v>371</v>
      </c>
    </row>
    <row r="201" customFormat="false" ht="15" hidden="false" customHeight="true" outlineLevel="0" collapsed="false">
      <c r="A201" s="0" t="s">
        <v>882</v>
      </c>
      <c r="B201" s="0" t="s">
        <v>499</v>
      </c>
      <c r="C201" s="0" t="s">
        <v>381</v>
      </c>
      <c r="D201" s="0" t="s">
        <v>367</v>
      </c>
      <c r="E201" s="102" t="b">
        <f aca="false">FALSE()</f>
        <v>0</v>
      </c>
      <c r="G201" s="0" t="s">
        <v>367</v>
      </c>
      <c r="H201" s="0" t="s">
        <v>384</v>
      </c>
      <c r="I201" s="0" t="s">
        <v>870</v>
      </c>
      <c r="J201" s="0" t="s">
        <v>871</v>
      </c>
      <c r="K201" s="102" t="b">
        <f aca="false">TRUE()</f>
        <v>1</v>
      </c>
      <c r="L201" s="0" t="s">
        <v>371</v>
      </c>
    </row>
    <row r="202" customFormat="false" ht="15" hidden="false" customHeight="true" outlineLevel="0" collapsed="false">
      <c r="A202" s="0" t="s">
        <v>883</v>
      </c>
      <c r="B202" s="0" t="s">
        <v>439</v>
      </c>
      <c r="C202" s="0" t="s">
        <v>381</v>
      </c>
      <c r="D202" s="0" t="s">
        <v>367</v>
      </c>
      <c r="E202" s="102" t="b">
        <f aca="false">FALSE()</f>
        <v>0</v>
      </c>
      <c r="G202" s="0" t="s">
        <v>367</v>
      </c>
      <c r="H202" s="0" t="s">
        <v>384</v>
      </c>
      <c r="I202" s="0" t="s">
        <v>870</v>
      </c>
      <c r="J202" s="0" t="s">
        <v>871</v>
      </c>
      <c r="K202" s="102" t="b">
        <f aca="false">TRUE()</f>
        <v>1</v>
      </c>
      <c r="L202" s="0" t="s">
        <v>371</v>
      </c>
    </row>
    <row r="203" customFormat="false" ht="15" hidden="false" customHeight="true" outlineLevel="0" collapsed="false">
      <c r="A203" s="0" t="s">
        <v>884</v>
      </c>
      <c r="B203" s="0" t="s">
        <v>459</v>
      </c>
      <c r="C203" s="0" t="s">
        <v>381</v>
      </c>
      <c r="D203" s="0" t="s">
        <v>367</v>
      </c>
      <c r="E203" s="102" t="b">
        <f aca="false">FALSE()</f>
        <v>0</v>
      </c>
      <c r="G203" s="0" t="s">
        <v>367</v>
      </c>
      <c r="H203" s="0" t="s">
        <v>384</v>
      </c>
      <c r="I203" s="0" t="s">
        <v>870</v>
      </c>
      <c r="J203" s="0" t="s">
        <v>871</v>
      </c>
      <c r="K203" s="102" t="b">
        <f aca="false">TRUE()</f>
        <v>1</v>
      </c>
      <c r="L203" s="0" t="s">
        <v>371</v>
      </c>
    </row>
    <row r="204" customFormat="false" ht="15" hidden="false" customHeight="true" outlineLevel="0" collapsed="false">
      <c r="A204" s="0" t="s">
        <v>885</v>
      </c>
      <c r="B204" s="0" t="s">
        <v>481</v>
      </c>
      <c r="C204" s="0" t="s">
        <v>381</v>
      </c>
      <c r="D204" s="0" t="s">
        <v>367</v>
      </c>
      <c r="E204" s="102" t="b">
        <f aca="false">FALSE()</f>
        <v>0</v>
      </c>
      <c r="G204" s="0" t="s">
        <v>367</v>
      </c>
      <c r="H204" s="0" t="s">
        <v>384</v>
      </c>
      <c r="I204" s="0" t="s">
        <v>870</v>
      </c>
      <c r="J204" s="0" t="s">
        <v>871</v>
      </c>
      <c r="K204" s="102" t="b">
        <f aca="false">TRUE()</f>
        <v>1</v>
      </c>
      <c r="L204" s="0" t="s">
        <v>371</v>
      </c>
    </row>
    <row r="205" customFormat="false" ht="15" hidden="false" customHeight="true" outlineLevel="0" collapsed="false">
      <c r="A205" s="0" t="s">
        <v>886</v>
      </c>
      <c r="B205" s="0" t="s">
        <v>501</v>
      </c>
      <c r="C205" s="0" t="s">
        <v>381</v>
      </c>
      <c r="D205" s="0" t="s">
        <v>367</v>
      </c>
      <c r="E205" s="102" t="b">
        <f aca="false">FALSE()</f>
        <v>0</v>
      </c>
      <c r="G205" s="0" t="s">
        <v>367</v>
      </c>
      <c r="H205" s="0" t="s">
        <v>384</v>
      </c>
      <c r="I205" s="0" t="s">
        <v>870</v>
      </c>
      <c r="J205" s="0" t="s">
        <v>871</v>
      </c>
      <c r="K205" s="102" t="b">
        <f aca="false">TRUE()</f>
        <v>1</v>
      </c>
      <c r="L205" s="0" t="s">
        <v>371</v>
      </c>
    </row>
    <row r="206" customFormat="false" ht="15" hidden="false" customHeight="true" outlineLevel="0" collapsed="false">
      <c r="A206" s="0" t="s">
        <v>887</v>
      </c>
      <c r="B206" s="0" t="s">
        <v>441</v>
      </c>
      <c r="C206" s="0" t="s">
        <v>381</v>
      </c>
      <c r="D206" s="0" t="s">
        <v>367</v>
      </c>
      <c r="E206" s="102" t="b">
        <f aca="false">FALSE()</f>
        <v>0</v>
      </c>
      <c r="G206" s="0" t="s">
        <v>367</v>
      </c>
      <c r="H206" s="0" t="s">
        <v>384</v>
      </c>
      <c r="I206" s="0" t="s">
        <v>870</v>
      </c>
      <c r="J206" s="0" t="s">
        <v>871</v>
      </c>
      <c r="K206" s="102" t="b">
        <f aca="false">TRUE()</f>
        <v>1</v>
      </c>
      <c r="L206" s="0" t="s">
        <v>371</v>
      </c>
    </row>
    <row r="207" customFormat="false" ht="15" hidden="false" customHeight="true" outlineLevel="0" collapsed="false">
      <c r="A207" s="0" t="s">
        <v>888</v>
      </c>
      <c r="B207" s="0" t="s">
        <v>461</v>
      </c>
      <c r="C207" s="0" t="s">
        <v>381</v>
      </c>
      <c r="D207" s="0" t="s">
        <v>367</v>
      </c>
      <c r="E207" s="102" t="b">
        <f aca="false">FALSE()</f>
        <v>0</v>
      </c>
      <c r="G207" s="0" t="s">
        <v>367</v>
      </c>
      <c r="H207" s="0" t="s">
        <v>384</v>
      </c>
      <c r="I207" s="0" t="s">
        <v>870</v>
      </c>
      <c r="J207" s="0" t="s">
        <v>871</v>
      </c>
      <c r="K207" s="102" t="b">
        <f aca="false">TRUE()</f>
        <v>1</v>
      </c>
      <c r="L207" s="0" t="s">
        <v>371</v>
      </c>
    </row>
    <row r="208" customFormat="false" ht="15" hidden="false" customHeight="true" outlineLevel="0" collapsed="false">
      <c r="A208" s="0" t="s">
        <v>889</v>
      </c>
      <c r="B208" s="0" t="s">
        <v>483</v>
      </c>
      <c r="C208" s="0" t="s">
        <v>381</v>
      </c>
      <c r="D208" s="0" t="s">
        <v>367</v>
      </c>
      <c r="E208" s="102" t="b">
        <f aca="false">FALSE()</f>
        <v>0</v>
      </c>
      <c r="G208" s="0" t="s">
        <v>367</v>
      </c>
      <c r="H208" s="0" t="s">
        <v>384</v>
      </c>
      <c r="I208" s="0" t="s">
        <v>870</v>
      </c>
      <c r="J208" s="0" t="s">
        <v>871</v>
      </c>
      <c r="K208" s="102" t="b">
        <f aca="false">TRUE()</f>
        <v>1</v>
      </c>
      <c r="L208" s="0" t="s">
        <v>371</v>
      </c>
    </row>
    <row r="209" customFormat="false" ht="15" hidden="false" customHeight="true" outlineLevel="0" collapsed="false">
      <c r="A209" s="0" t="s">
        <v>890</v>
      </c>
      <c r="B209" s="0" t="s">
        <v>503</v>
      </c>
      <c r="C209" s="0" t="s">
        <v>381</v>
      </c>
      <c r="D209" s="0" t="s">
        <v>367</v>
      </c>
      <c r="E209" s="102" t="b">
        <f aca="false">FALSE()</f>
        <v>0</v>
      </c>
      <c r="G209" s="0" t="s">
        <v>367</v>
      </c>
      <c r="H209" s="0" t="s">
        <v>384</v>
      </c>
      <c r="I209" s="0" t="s">
        <v>870</v>
      </c>
      <c r="J209" s="0" t="s">
        <v>871</v>
      </c>
      <c r="K209" s="102" t="b">
        <f aca="false">TRUE()</f>
        <v>1</v>
      </c>
      <c r="L209" s="0" t="s">
        <v>371</v>
      </c>
    </row>
    <row r="210" customFormat="false" ht="15" hidden="false" customHeight="true" outlineLevel="0" collapsed="false">
      <c r="A210" s="0" t="s">
        <v>891</v>
      </c>
      <c r="B210" s="0" t="s">
        <v>443</v>
      </c>
      <c r="C210" s="0" t="s">
        <v>381</v>
      </c>
      <c r="D210" s="0" t="s">
        <v>367</v>
      </c>
      <c r="E210" s="102" t="b">
        <f aca="false">FALSE()</f>
        <v>0</v>
      </c>
      <c r="G210" s="0" t="s">
        <v>367</v>
      </c>
      <c r="H210" s="0" t="s">
        <v>384</v>
      </c>
      <c r="I210" s="0" t="s">
        <v>870</v>
      </c>
      <c r="J210" s="0" t="s">
        <v>871</v>
      </c>
      <c r="K210" s="102" t="b">
        <f aca="false">TRUE()</f>
        <v>1</v>
      </c>
      <c r="L210" s="0" t="s">
        <v>371</v>
      </c>
    </row>
    <row r="211" customFormat="false" ht="15" hidden="false" customHeight="true" outlineLevel="0" collapsed="false">
      <c r="A211" s="0" t="s">
        <v>892</v>
      </c>
      <c r="B211" s="0" t="s">
        <v>463</v>
      </c>
      <c r="C211" s="0" t="s">
        <v>381</v>
      </c>
      <c r="D211" s="0" t="s">
        <v>367</v>
      </c>
      <c r="E211" s="102" t="b">
        <f aca="false">FALSE()</f>
        <v>0</v>
      </c>
      <c r="G211" s="0" t="s">
        <v>367</v>
      </c>
      <c r="H211" s="0" t="s">
        <v>384</v>
      </c>
      <c r="I211" s="0" t="s">
        <v>870</v>
      </c>
      <c r="J211" s="0" t="s">
        <v>871</v>
      </c>
      <c r="K211" s="102" t="b">
        <f aca="false">TRUE()</f>
        <v>1</v>
      </c>
      <c r="L211" s="0" t="s">
        <v>371</v>
      </c>
    </row>
    <row r="212" customFormat="false" ht="15" hidden="false" customHeight="true" outlineLevel="0" collapsed="false">
      <c r="A212" s="0" t="s">
        <v>893</v>
      </c>
      <c r="B212" s="0" t="s">
        <v>485</v>
      </c>
      <c r="C212" s="0" t="s">
        <v>381</v>
      </c>
      <c r="D212" s="0" t="s">
        <v>367</v>
      </c>
      <c r="E212" s="102" t="b">
        <f aca="false">FALSE()</f>
        <v>0</v>
      </c>
      <c r="G212" s="0" t="s">
        <v>367</v>
      </c>
      <c r="H212" s="0" t="s">
        <v>384</v>
      </c>
      <c r="I212" s="0" t="s">
        <v>870</v>
      </c>
      <c r="J212" s="0" t="s">
        <v>871</v>
      </c>
      <c r="K212" s="102" t="b">
        <f aca="false">TRUE()</f>
        <v>1</v>
      </c>
      <c r="L212" s="0" t="s">
        <v>371</v>
      </c>
    </row>
    <row r="213" customFormat="false" ht="15" hidden="false" customHeight="true" outlineLevel="0" collapsed="false">
      <c r="A213" s="0" t="s">
        <v>894</v>
      </c>
      <c r="B213" s="0" t="s">
        <v>505</v>
      </c>
      <c r="C213" s="0" t="s">
        <v>381</v>
      </c>
      <c r="D213" s="0" t="s">
        <v>367</v>
      </c>
      <c r="E213" s="102" t="b">
        <f aca="false">FALSE()</f>
        <v>0</v>
      </c>
      <c r="G213" s="0" t="s">
        <v>367</v>
      </c>
      <c r="H213" s="0" t="s">
        <v>384</v>
      </c>
      <c r="I213" s="0" t="s">
        <v>870</v>
      </c>
      <c r="J213" s="0" t="s">
        <v>871</v>
      </c>
      <c r="K213" s="102" t="b">
        <f aca="false">TRUE()</f>
        <v>1</v>
      </c>
      <c r="L213" s="0" t="s">
        <v>371</v>
      </c>
    </row>
    <row r="214" customFormat="false" ht="15" hidden="false" customHeight="true" outlineLevel="0" collapsed="false">
      <c r="A214" s="0" t="s">
        <v>895</v>
      </c>
      <c r="B214" s="0" t="s">
        <v>445</v>
      </c>
      <c r="C214" s="0" t="s">
        <v>381</v>
      </c>
      <c r="D214" s="0" t="s">
        <v>367</v>
      </c>
      <c r="E214" s="102" t="b">
        <f aca="false">FALSE()</f>
        <v>0</v>
      </c>
      <c r="G214" s="0" t="s">
        <v>367</v>
      </c>
      <c r="H214" s="0" t="s">
        <v>384</v>
      </c>
      <c r="I214" s="0" t="s">
        <v>870</v>
      </c>
      <c r="J214" s="0" t="s">
        <v>871</v>
      </c>
      <c r="K214" s="102" t="b">
        <f aca="false">TRUE()</f>
        <v>1</v>
      </c>
      <c r="L214" s="0" t="s">
        <v>371</v>
      </c>
    </row>
    <row r="215" customFormat="false" ht="15" hidden="false" customHeight="true" outlineLevel="0" collapsed="false">
      <c r="A215" s="0" t="s">
        <v>896</v>
      </c>
      <c r="B215" s="0" t="s">
        <v>465</v>
      </c>
      <c r="C215" s="0" t="s">
        <v>381</v>
      </c>
      <c r="D215" s="0" t="s">
        <v>367</v>
      </c>
      <c r="E215" s="102" t="b">
        <f aca="false">FALSE()</f>
        <v>0</v>
      </c>
      <c r="G215" s="0" t="s">
        <v>367</v>
      </c>
      <c r="H215" s="0" t="s">
        <v>384</v>
      </c>
      <c r="I215" s="0" t="s">
        <v>870</v>
      </c>
      <c r="J215" s="0" t="s">
        <v>871</v>
      </c>
      <c r="K215" s="102" t="b">
        <f aca="false">TRUE()</f>
        <v>1</v>
      </c>
      <c r="L215" s="0" t="s">
        <v>371</v>
      </c>
    </row>
    <row r="216" customFormat="false" ht="15" hidden="false" customHeight="true" outlineLevel="0" collapsed="false">
      <c r="A216" s="0" t="s">
        <v>897</v>
      </c>
      <c r="B216" s="0" t="s">
        <v>487</v>
      </c>
      <c r="C216" s="0" t="s">
        <v>381</v>
      </c>
      <c r="D216" s="0" t="s">
        <v>367</v>
      </c>
      <c r="E216" s="102" t="b">
        <f aca="false">FALSE()</f>
        <v>0</v>
      </c>
      <c r="G216" s="0" t="s">
        <v>367</v>
      </c>
      <c r="H216" s="0" t="s">
        <v>384</v>
      </c>
      <c r="I216" s="0" t="s">
        <v>870</v>
      </c>
      <c r="J216" s="0" t="s">
        <v>871</v>
      </c>
      <c r="K216" s="102" t="b">
        <f aca="false">TRUE()</f>
        <v>1</v>
      </c>
      <c r="L216" s="0" t="s">
        <v>371</v>
      </c>
    </row>
    <row r="217" customFormat="false" ht="15" hidden="false" customHeight="true" outlineLevel="0" collapsed="false">
      <c r="A217" s="0" t="s">
        <v>898</v>
      </c>
      <c r="B217" s="0" t="s">
        <v>507</v>
      </c>
      <c r="C217" s="0" t="s">
        <v>381</v>
      </c>
      <c r="D217" s="0" t="s">
        <v>367</v>
      </c>
      <c r="E217" s="102" t="b">
        <f aca="false">FALSE()</f>
        <v>0</v>
      </c>
      <c r="G217" s="0" t="s">
        <v>367</v>
      </c>
      <c r="H217" s="0" t="s">
        <v>384</v>
      </c>
      <c r="I217" s="0" t="s">
        <v>870</v>
      </c>
      <c r="J217" s="0" t="s">
        <v>871</v>
      </c>
      <c r="K217" s="102" t="b">
        <f aca="false">TRUE()</f>
        <v>1</v>
      </c>
      <c r="L217" s="0" t="s">
        <v>371</v>
      </c>
    </row>
    <row r="218" customFormat="false" ht="15" hidden="false" customHeight="true" outlineLevel="0" collapsed="false">
      <c r="A218" s="0" t="s">
        <v>899</v>
      </c>
      <c r="B218" s="0" t="s">
        <v>447</v>
      </c>
      <c r="C218" s="0" t="s">
        <v>381</v>
      </c>
      <c r="D218" s="0" t="s">
        <v>367</v>
      </c>
      <c r="E218" s="102" t="b">
        <f aca="false">FALSE()</f>
        <v>0</v>
      </c>
      <c r="G218" s="0" t="s">
        <v>367</v>
      </c>
      <c r="H218" s="0" t="s">
        <v>384</v>
      </c>
      <c r="I218" s="0" t="s">
        <v>870</v>
      </c>
      <c r="J218" s="0" t="s">
        <v>871</v>
      </c>
      <c r="K218" s="102" t="b">
        <f aca="false">TRUE()</f>
        <v>1</v>
      </c>
      <c r="L218" s="0" t="s">
        <v>371</v>
      </c>
    </row>
    <row r="219" customFormat="false" ht="15" hidden="false" customHeight="true" outlineLevel="0" collapsed="false">
      <c r="A219" s="0" t="s">
        <v>900</v>
      </c>
      <c r="B219" s="0" t="s">
        <v>467</v>
      </c>
      <c r="C219" s="0" t="s">
        <v>381</v>
      </c>
      <c r="D219" s="0" t="s">
        <v>367</v>
      </c>
      <c r="E219" s="102" t="b">
        <f aca="false">FALSE()</f>
        <v>0</v>
      </c>
      <c r="G219" s="0" t="s">
        <v>367</v>
      </c>
      <c r="H219" s="0" t="s">
        <v>384</v>
      </c>
      <c r="I219" s="0" t="s">
        <v>870</v>
      </c>
      <c r="J219" s="0" t="s">
        <v>871</v>
      </c>
      <c r="K219" s="102" t="b">
        <f aca="false">TRUE()</f>
        <v>1</v>
      </c>
      <c r="L219" s="0" t="s">
        <v>371</v>
      </c>
    </row>
    <row r="220" customFormat="false" ht="15" hidden="false" customHeight="true" outlineLevel="0" collapsed="false">
      <c r="A220" s="0" t="s">
        <v>901</v>
      </c>
      <c r="B220" s="0" t="s">
        <v>489</v>
      </c>
      <c r="C220" s="0" t="s">
        <v>381</v>
      </c>
      <c r="D220" s="0" t="s">
        <v>367</v>
      </c>
      <c r="E220" s="102" t="b">
        <f aca="false">FALSE()</f>
        <v>0</v>
      </c>
      <c r="G220" s="0" t="s">
        <v>367</v>
      </c>
      <c r="H220" s="0" t="s">
        <v>384</v>
      </c>
      <c r="I220" s="0" t="s">
        <v>870</v>
      </c>
      <c r="J220" s="0" t="s">
        <v>871</v>
      </c>
      <c r="K220" s="102" t="b">
        <f aca="false">TRUE()</f>
        <v>1</v>
      </c>
      <c r="L220" s="0" t="s">
        <v>371</v>
      </c>
    </row>
    <row r="221" customFormat="false" ht="15" hidden="false" customHeight="true" outlineLevel="0" collapsed="false">
      <c r="A221" s="0" t="s">
        <v>902</v>
      </c>
      <c r="B221" s="0" t="s">
        <v>509</v>
      </c>
      <c r="C221" s="0" t="s">
        <v>381</v>
      </c>
      <c r="D221" s="0" t="s">
        <v>367</v>
      </c>
      <c r="E221" s="102" t="b">
        <f aca="false">FALSE()</f>
        <v>0</v>
      </c>
      <c r="G221" s="0" t="s">
        <v>367</v>
      </c>
      <c r="H221" s="0" t="s">
        <v>384</v>
      </c>
      <c r="I221" s="0" t="s">
        <v>870</v>
      </c>
      <c r="J221" s="0" t="s">
        <v>871</v>
      </c>
      <c r="K221" s="102" t="b">
        <f aca="false">TRUE()</f>
        <v>1</v>
      </c>
      <c r="L221" s="0" t="s">
        <v>371</v>
      </c>
    </row>
    <row r="222" customFormat="false" ht="15" hidden="false" customHeight="true" outlineLevel="0" collapsed="false">
      <c r="A222" s="0" t="s">
        <v>903</v>
      </c>
      <c r="B222" s="0" t="s">
        <v>449</v>
      </c>
      <c r="C222" s="0" t="s">
        <v>381</v>
      </c>
      <c r="D222" s="0" t="s">
        <v>367</v>
      </c>
      <c r="E222" s="102" t="b">
        <f aca="false">FALSE()</f>
        <v>0</v>
      </c>
      <c r="G222" s="0" t="s">
        <v>367</v>
      </c>
      <c r="H222" s="0" t="s">
        <v>384</v>
      </c>
      <c r="I222" s="0" t="s">
        <v>870</v>
      </c>
      <c r="J222" s="0" t="s">
        <v>871</v>
      </c>
      <c r="K222" s="102" t="b">
        <f aca="false">TRUE()</f>
        <v>1</v>
      </c>
      <c r="L222" s="0" t="s">
        <v>371</v>
      </c>
    </row>
    <row r="223" customFormat="false" ht="15" hidden="false" customHeight="true" outlineLevel="0" collapsed="false">
      <c r="A223" s="0" t="s">
        <v>904</v>
      </c>
      <c r="B223" s="0" t="s">
        <v>469</v>
      </c>
      <c r="C223" s="0" t="s">
        <v>381</v>
      </c>
      <c r="D223" s="0" t="s">
        <v>367</v>
      </c>
      <c r="E223" s="102" t="b">
        <f aca="false">FALSE()</f>
        <v>0</v>
      </c>
      <c r="G223" s="0" t="s">
        <v>367</v>
      </c>
      <c r="H223" s="0" t="s">
        <v>384</v>
      </c>
      <c r="I223" s="0" t="s">
        <v>870</v>
      </c>
      <c r="J223" s="0" t="s">
        <v>871</v>
      </c>
      <c r="K223" s="102" t="b">
        <f aca="false">TRUE()</f>
        <v>1</v>
      </c>
      <c r="L223" s="0" t="s">
        <v>371</v>
      </c>
    </row>
    <row r="224" customFormat="false" ht="15" hidden="false" customHeight="true" outlineLevel="0" collapsed="false">
      <c r="A224" s="0" t="s">
        <v>905</v>
      </c>
      <c r="B224" s="0" t="s">
        <v>491</v>
      </c>
      <c r="C224" s="0" t="s">
        <v>381</v>
      </c>
      <c r="D224" s="0" t="s">
        <v>367</v>
      </c>
      <c r="E224" s="102" t="b">
        <f aca="false">FALSE()</f>
        <v>0</v>
      </c>
      <c r="G224" s="0" t="s">
        <v>367</v>
      </c>
      <c r="H224" s="0" t="s">
        <v>384</v>
      </c>
      <c r="I224" s="0" t="s">
        <v>870</v>
      </c>
      <c r="J224" s="0" t="s">
        <v>871</v>
      </c>
      <c r="K224" s="102" t="b">
        <f aca="false">TRUE()</f>
        <v>1</v>
      </c>
      <c r="L224" s="0" t="s">
        <v>371</v>
      </c>
    </row>
    <row r="225" customFormat="false" ht="15" hidden="false" customHeight="true" outlineLevel="0" collapsed="false">
      <c r="A225" s="0" t="s">
        <v>906</v>
      </c>
      <c r="B225" s="0" t="s">
        <v>511</v>
      </c>
      <c r="C225" s="0" t="s">
        <v>381</v>
      </c>
      <c r="D225" s="0" t="s">
        <v>367</v>
      </c>
      <c r="E225" s="102" t="b">
        <f aca="false">FALSE()</f>
        <v>0</v>
      </c>
      <c r="G225" s="0" t="s">
        <v>367</v>
      </c>
      <c r="H225" s="0" t="s">
        <v>384</v>
      </c>
      <c r="I225" s="0" t="s">
        <v>870</v>
      </c>
      <c r="J225" s="0" t="s">
        <v>871</v>
      </c>
      <c r="K225" s="102" t="b">
        <f aca="false">TRUE()</f>
        <v>1</v>
      </c>
      <c r="L225" s="0" t="s">
        <v>371</v>
      </c>
    </row>
    <row r="226" customFormat="false" ht="15" hidden="false" customHeight="true" outlineLevel="0" collapsed="false">
      <c r="A226" s="0" t="s">
        <v>907</v>
      </c>
      <c r="B226" s="0" t="s">
        <v>908</v>
      </c>
      <c r="C226" s="0" t="s">
        <v>381</v>
      </c>
      <c r="D226" s="0" t="s">
        <v>365</v>
      </c>
      <c r="E226" s="102" t="b">
        <f aca="false">TRUE()</f>
        <v>1</v>
      </c>
      <c r="F226" s="0" t="s">
        <v>909</v>
      </c>
      <c r="G226" s="0" t="s">
        <v>367</v>
      </c>
      <c r="H226" s="0" t="s">
        <v>384</v>
      </c>
      <c r="I226" s="0" t="s">
        <v>870</v>
      </c>
      <c r="J226" s="0" t="s">
        <v>910</v>
      </c>
      <c r="K226" s="102" t="b">
        <f aca="false">TRUE()</f>
        <v>1</v>
      </c>
      <c r="L226" s="0" t="s">
        <v>371</v>
      </c>
    </row>
    <row r="227" customFormat="false" ht="15" hidden="false" customHeight="true" outlineLevel="0" collapsed="false">
      <c r="A227" s="0" t="s">
        <v>911</v>
      </c>
      <c r="B227" s="0" t="s">
        <v>912</v>
      </c>
      <c r="C227" s="0" t="s">
        <v>381</v>
      </c>
      <c r="D227" s="0" t="s">
        <v>365</v>
      </c>
      <c r="E227" s="102" t="b">
        <f aca="false">TRUE()</f>
        <v>1</v>
      </c>
      <c r="F227" s="0" t="s">
        <v>913</v>
      </c>
      <c r="G227" s="0" t="s">
        <v>367</v>
      </c>
      <c r="H227" s="0" t="s">
        <v>384</v>
      </c>
      <c r="I227" s="0" t="s">
        <v>914</v>
      </c>
      <c r="J227" s="0" t="s">
        <v>915</v>
      </c>
      <c r="K227" s="102" t="b">
        <f aca="false">TRUE()</f>
        <v>1</v>
      </c>
      <c r="L227" s="0" t="s">
        <v>371</v>
      </c>
    </row>
    <row r="228" customFormat="false" ht="15" hidden="false" customHeight="true" outlineLevel="0" collapsed="false">
      <c r="A228" s="0" t="s">
        <v>916</v>
      </c>
      <c r="B228" s="0" t="s">
        <v>917</v>
      </c>
      <c r="C228" s="0" t="s">
        <v>381</v>
      </c>
      <c r="D228" s="0" t="s">
        <v>365</v>
      </c>
      <c r="E228" s="102" t="b">
        <f aca="false">TRUE()</f>
        <v>1</v>
      </c>
      <c r="F228" s="0" t="s">
        <v>918</v>
      </c>
      <c r="G228" s="0" t="s">
        <v>367</v>
      </c>
      <c r="H228" s="0" t="s">
        <v>384</v>
      </c>
      <c r="I228" s="0" t="s">
        <v>914</v>
      </c>
      <c r="J228" s="0" t="s">
        <v>919</v>
      </c>
      <c r="K228" s="102" t="b">
        <f aca="false">TRUE()</f>
        <v>1</v>
      </c>
      <c r="L228" s="0" t="s">
        <v>371</v>
      </c>
    </row>
    <row r="229" customFormat="false" ht="15" hidden="false" customHeight="true" outlineLevel="0" collapsed="false">
      <c r="A229" s="0" t="s">
        <v>920</v>
      </c>
      <c r="B229" s="0" t="s">
        <v>921</v>
      </c>
      <c r="C229" s="0" t="s">
        <v>381</v>
      </c>
      <c r="D229" s="0" t="s">
        <v>365</v>
      </c>
      <c r="E229" s="102" t="b">
        <f aca="false">TRUE()</f>
        <v>1</v>
      </c>
      <c r="F229" s="0" t="s">
        <v>922</v>
      </c>
      <c r="G229" s="0" t="s">
        <v>367</v>
      </c>
      <c r="H229" s="0" t="s">
        <v>384</v>
      </c>
      <c r="I229" s="0" t="s">
        <v>914</v>
      </c>
      <c r="J229" s="0" t="s">
        <v>923</v>
      </c>
      <c r="K229" s="102" t="b">
        <f aca="false">TRUE()</f>
        <v>1</v>
      </c>
      <c r="L229" s="0" t="s">
        <v>371</v>
      </c>
    </row>
    <row r="230" customFormat="false" ht="15" hidden="false" customHeight="true" outlineLevel="0" collapsed="false">
      <c r="A230" s="0" t="s">
        <v>924</v>
      </c>
      <c r="B230" s="0" t="s">
        <v>925</v>
      </c>
      <c r="C230" s="0" t="s">
        <v>381</v>
      </c>
      <c r="D230" s="0" t="s">
        <v>365</v>
      </c>
      <c r="E230" s="102" t="b">
        <f aca="false">TRUE()</f>
        <v>1</v>
      </c>
      <c r="F230" s="0" t="s">
        <v>926</v>
      </c>
      <c r="G230" s="0" t="s">
        <v>367</v>
      </c>
      <c r="H230" s="0" t="s">
        <v>384</v>
      </c>
      <c r="I230" s="0" t="s">
        <v>914</v>
      </c>
      <c r="J230" s="0" t="s">
        <v>927</v>
      </c>
      <c r="K230" s="102" t="b">
        <f aca="false">TRUE()</f>
        <v>1</v>
      </c>
      <c r="L230" s="0" t="s">
        <v>371</v>
      </c>
    </row>
    <row r="231" customFormat="false" ht="15" hidden="false" customHeight="true" outlineLevel="0" collapsed="false">
      <c r="A231" s="0" t="s">
        <v>928</v>
      </c>
      <c r="B231" s="0" t="s">
        <v>929</v>
      </c>
      <c r="C231" s="0" t="s">
        <v>381</v>
      </c>
      <c r="D231" s="0" t="s">
        <v>365</v>
      </c>
      <c r="E231" s="102" t="b">
        <f aca="false">TRUE()</f>
        <v>1</v>
      </c>
      <c r="F231" s="0" t="s">
        <v>930</v>
      </c>
      <c r="G231" s="0" t="s">
        <v>367</v>
      </c>
      <c r="H231" s="0" t="s">
        <v>931</v>
      </c>
      <c r="I231" s="0" t="s">
        <v>932</v>
      </c>
      <c r="J231" s="0" t="s">
        <v>933</v>
      </c>
      <c r="K231" s="102" t="b">
        <f aca="false">TRUE()</f>
        <v>1</v>
      </c>
      <c r="L231" s="0" t="s">
        <v>371</v>
      </c>
    </row>
    <row r="232" customFormat="false" ht="15" hidden="false" customHeight="true" outlineLevel="0" collapsed="false">
      <c r="A232" s="0" t="s">
        <v>934</v>
      </c>
      <c r="B232" s="0" t="s">
        <v>935</v>
      </c>
      <c r="C232" s="0" t="s">
        <v>381</v>
      </c>
      <c r="D232" s="0" t="s">
        <v>365</v>
      </c>
      <c r="E232" s="102" t="b">
        <f aca="false">TRUE()</f>
        <v>1</v>
      </c>
      <c r="F232" s="0" t="s">
        <v>936</v>
      </c>
      <c r="G232" s="0" t="s">
        <v>367</v>
      </c>
      <c r="H232" s="0" t="s">
        <v>931</v>
      </c>
      <c r="I232" s="0" t="s">
        <v>932</v>
      </c>
      <c r="J232" s="0" t="s">
        <v>937</v>
      </c>
      <c r="K232" s="102" t="b">
        <f aca="false">TRUE()</f>
        <v>1</v>
      </c>
      <c r="L232" s="0" t="s">
        <v>371</v>
      </c>
    </row>
    <row r="233" customFormat="false" ht="15" hidden="false" customHeight="true" outlineLevel="0" collapsed="false">
      <c r="A233" s="0" t="s">
        <v>938</v>
      </c>
      <c r="B233" s="0" t="s">
        <v>939</v>
      </c>
      <c r="C233" s="0" t="s">
        <v>381</v>
      </c>
      <c r="D233" s="0" t="s">
        <v>365</v>
      </c>
      <c r="E233" s="102" t="b">
        <f aca="false">TRUE()</f>
        <v>1</v>
      </c>
      <c r="F233" s="0" t="s">
        <v>425</v>
      </c>
      <c r="G233" s="0" t="s">
        <v>367</v>
      </c>
      <c r="H233" s="0" t="s">
        <v>931</v>
      </c>
      <c r="I233" s="0" t="s">
        <v>932</v>
      </c>
      <c r="J233" s="0" t="s">
        <v>940</v>
      </c>
      <c r="K233" s="102" t="b">
        <f aca="false">TRUE()</f>
        <v>1</v>
      </c>
      <c r="L233" s="0" t="s">
        <v>371</v>
      </c>
    </row>
    <row r="234" customFormat="false" ht="15" hidden="false" customHeight="true" outlineLevel="0" collapsed="false">
      <c r="A234" s="0" t="s">
        <v>941</v>
      </c>
      <c r="B234" s="0" t="s">
        <v>942</v>
      </c>
      <c r="C234" s="0" t="s">
        <v>381</v>
      </c>
      <c r="D234" s="0" t="s">
        <v>365</v>
      </c>
      <c r="E234" s="102" t="b">
        <f aca="false">TRUE()</f>
        <v>1</v>
      </c>
      <c r="F234" s="0" t="s">
        <v>425</v>
      </c>
      <c r="G234" s="0" t="s">
        <v>367</v>
      </c>
      <c r="H234" s="0" t="s">
        <v>931</v>
      </c>
      <c r="I234" s="0" t="s">
        <v>932</v>
      </c>
      <c r="J234" s="0" t="s">
        <v>940</v>
      </c>
      <c r="K234" s="102" t="b">
        <f aca="false">TRUE()</f>
        <v>1</v>
      </c>
      <c r="L234" s="0" t="s">
        <v>371</v>
      </c>
    </row>
    <row r="235" customFormat="false" ht="15" hidden="false" customHeight="true" outlineLevel="0" collapsed="false">
      <c r="A235" s="0" t="s">
        <v>943</v>
      </c>
      <c r="B235" s="0" t="s">
        <v>944</v>
      </c>
      <c r="C235" s="0" t="s">
        <v>381</v>
      </c>
      <c r="D235" s="0" t="s">
        <v>365</v>
      </c>
      <c r="E235" s="102" t="b">
        <f aca="false">TRUE()</f>
        <v>1</v>
      </c>
      <c r="F235" s="0" t="s">
        <v>945</v>
      </c>
      <c r="G235" s="0" t="s">
        <v>367</v>
      </c>
      <c r="H235" s="0" t="s">
        <v>931</v>
      </c>
      <c r="I235" s="0" t="s">
        <v>932</v>
      </c>
      <c r="J235" s="0" t="s">
        <v>933</v>
      </c>
      <c r="K235" s="102" t="b">
        <f aca="false">TRUE()</f>
        <v>1</v>
      </c>
      <c r="L235" s="0" t="s">
        <v>371</v>
      </c>
    </row>
    <row r="236" customFormat="false" ht="15" hidden="false" customHeight="true" outlineLevel="0" collapsed="false">
      <c r="A236" s="0" t="s">
        <v>946</v>
      </c>
      <c r="B236" s="0" t="s">
        <v>947</v>
      </c>
      <c r="C236" s="0" t="s">
        <v>381</v>
      </c>
      <c r="D236" s="0" t="s">
        <v>365</v>
      </c>
      <c r="E236" s="102" t="b">
        <f aca="false">TRUE()</f>
        <v>1</v>
      </c>
      <c r="F236" s="0" t="s">
        <v>936</v>
      </c>
      <c r="G236" s="0" t="s">
        <v>367</v>
      </c>
      <c r="H236" s="0" t="s">
        <v>931</v>
      </c>
      <c r="I236" s="0" t="s">
        <v>932</v>
      </c>
      <c r="J236" s="0" t="s">
        <v>937</v>
      </c>
      <c r="K236" s="102" t="b">
        <f aca="false">TRUE()</f>
        <v>1</v>
      </c>
      <c r="L236" s="0" t="s">
        <v>371</v>
      </c>
    </row>
    <row r="237" customFormat="false" ht="15" hidden="false" customHeight="true" outlineLevel="0" collapsed="false">
      <c r="A237" s="0" t="s">
        <v>948</v>
      </c>
      <c r="B237" s="0" t="s">
        <v>949</v>
      </c>
      <c r="C237" s="0" t="s">
        <v>381</v>
      </c>
      <c r="D237" s="0" t="s">
        <v>365</v>
      </c>
      <c r="E237" s="102" t="b">
        <f aca="false">TRUE()</f>
        <v>1</v>
      </c>
      <c r="F237" s="0" t="s">
        <v>425</v>
      </c>
      <c r="G237" s="0" t="s">
        <v>367</v>
      </c>
      <c r="H237" s="0" t="s">
        <v>931</v>
      </c>
      <c r="I237" s="0" t="s">
        <v>932</v>
      </c>
      <c r="J237" s="0" t="s">
        <v>940</v>
      </c>
      <c r="K237" s="102" t="b">
        <f aca="false">TRUE()</f>
        <v>1</v>
      </c>
      <c r="L237" s="0" t="s">
        <v>371</v>
      </c>
    </row>
    <row r="238" customFormat="false" ht="15" hidden="false" customHeight="true" outlineLevel="0" collapsed="false">
      <c r="A238" s="0" t="s">
        <v>950</v>
      </c>
      <c r="B238" s="0" t="s">
        <v>951</v>
      </c>
      <c r="C238" s="0" t="s">
        <v>381</v>
      </c>
      <c r="D238" s="0" t="s">
        <v>365</v>
      </c>
      <c r="E238" s="102" t="b">
        <f aca="false">TRUE()</f>
        <v>1</v>
      </c>
      <c r="F238" s="0" t="s">
        <v>425</v>
      </c>
      <c r="G238" s="0" t="s">
        <v>367</v>
      </c>
      <c r="H238" s="0" t="s">
        <v>931</v>
      </c>
      <c r="I238" s="0" t="s">
        <v>932</v>
      </c>
      <c r="J238" s="0" t="s">
        <v>940</v>
      </c>
      <c r="K238" s="102" t="b">
        <f aca="false">TRUE()</f>
        <v>1</v>
      </c>
      <c r="L238" s="0" t="s">
        <v>371</v>
      </c>
    </row>
    <row r="239" customFormat="false" ht="15" hidden="false" customHeight="true" outlineLevel="0" collapsed="false">
      <c r="A239" s="0" t="s">
        <v>952</v>
      </c>
      <c r="B239" s="0" t="s">
        <v>953</v>
      </c>
      <c r="C239" s="0" t="s">
        <v>381</v>
      </c>
      <c r="D239" s="0" t="s">
        <v>365</v>
      </c>
      <c r="E239" s="102" t="b">
        <f aca="false">TRUE()</f>
        <v>1</v>
      </c>
      <c r="F239" s="0" t="s">
        <v>954</v>
      </c>
      <c r="G239" s="0" t="s">
        <v>367</v>
      </c>
      <c r="H239" s="0" t="s">
        <v>931</v>
      </c>
      <c r="I239" s="0" t="s">
        <v>932</v>
      </c>
      <c r="J239" s="0" t="s">
        <v>933</v>
      </c>
      <c r="K239" s="102" t="b">
        <f aca="false">TRUE()</f>
        <v>1</v>
      </c>
      <c r="L239" s="0" t="s">
        <v>371</v>
      </c>
    </row>
    <row r="240" customFormat="false" ht="15" hidden="false" customHeight="true" outlineLevel="0" collapsed="false">
      <c r="A240" s="0" t="s">
        <v>955</v>
      </c>
      <c r="B240" s="0" t="s">
        <v>956</v>
      </c>
      <c r="C240" s="0" t="s">
        <v>381</v>
      </c>
      <c r="D240" s="0" t="s">
        <v>365</v>
      </c>
      <c r="E240" s="102" t="b">
        <f aca="false">TRUE()</f>
        <v>1</v>
      </c>
      <c r="F240" s="0" t="s">
        <v>936</v>
      </c>
      <c r="G240" s="0" t="s">
        <v>367</v>
      </c>
      <c r="H240" s="0" t="s">
        <v>931</v>
      </c>
      <c r="I240" s="0" t="s">
        <v>932</v>
      </c>
      <c r="J240" s="0" t="s">
        <v>937</v>
      </c>
      <c r="K240" s="102" t="b">
        <f aca="false">TRUE()</f>
        <v>1</v>
      </c>
      <c r="L240" s="0" t="s">
        <v>371</v>
      </c>
    </row>
    <row r="241" customFormat="false" ht="15" hidden="false" customHeight="true" outlineLevel="0" collapsed="false">
      <c r="A241" s="0" t="s">
        <v>957</v>
      </c>
      <c r="B241" s="0" t="s">
        <v>958</v>
      </c>
      <c r="C241" s="0" t="s">
        <v>381</v>
      </c>
      <c r="D241" s="0" t="s">
        <v>365</v>
      </c>
      <c r="E241" s="102" t="b">
        <f aca="false">TRUE()</f>
        <v>1</v>
      </c>
      <c r="F241" s="0" t="s">
        <v>425</v>
      </c>
      <c r="G241" s="0" t="s">
        <v>367</v>
      </c>
      <c r="H241" s="0" t="s">
        <v>931</v>
      </c>
      <c r="I241" s="0" t="s">
        <v>932</v>
      </c>
      <c r="J241" s="0" t="s">
        <v>940</v>
      </c>
      <c r="K241" s="102" t="b">
        <f aca="false">TRUE()</f>
        <v>1</v>
      </c>
      <c r="L241" s="0" t="s">
        <v>371</v>
      </c>
    </row>
    <row r="242" customFormat="false" ht="15" hidden="false" customHeight="true" outlineLevel="0" collapsed="false">
      <c r="A242" s="0" t="s">
        <v>959</v>
      </c>
      <c r="B242" s="0" t="s">
        <v>960</v>
      </c>
      <c r="C242" s="0" t="s">
        <v>381</v>
      </c>
      <c r="D242" s="0" t="s">
        <v>365</v>
      </c>
      <c r="E242" s="102" t="b">
        <f aca="false">TRUE()</f>
        <v>1</v>
      </c>
      <c r="F242" s="0" t="s">
        <v>425</v>
      </c>
      <c r="G242" s="0" t="s">
        <v>367</v>
      </c>
      <c r="H242" s="0" t="s">
        <v>931</v>
      </c>
      <c r="I242" s="0" t="s">
        <v>932</v>
      </c>
      <c r="J242" s="0" t="s">
        <v>940</v>
      </c>
      <c r="K242" s="102" t="b">
        <f aca="false">TRUE()</f>
        <v>1</v>
      </c>
      <c r="L242" s="0" t="s">
        <v>371</v>
      </c>
    </row>
    <row r="243" customFormat="false" ht="15" hidden="false" customHeight="true" outlineLevel="0" collapsed="false">
      <c r="A243" s="0" t="s">
        <v>961</v>
      </c>
      <c r="B243" s="0" t="s">
        <v>962</v>
      </c>
      <c r="C243" s="0" t="s">
        <v>381</v>
      </c>
      <c r="D243" s="0" t="s">
        <v>365</v>
      </c>
      <c r="E243" s="102" t="b">
        <f aca="false">TRUE()</f>
        <v>1</v>
      </c>
      <c r="F243" s="0" t="s">
        <v>963</v>
      </c>
      <c r="G243" s="0" t="s">
        <v>367</v>
      </c>
      <c r="H243" s="0" t="s">
        <v>931</v>
      </c>
      <c r="I243" s="0" t="s">
        <v>932</v>
      </c>
      <c r="J243" s="0" t="s">
        <v>933</v>
      </c>
      <c r="K243" s="102" t="b">
        <f aca="false">TRUE()</f>
        <v>1</v>
      </c>
      <c r="L243" s="0" t="s">
        <v>371</v>
      </c>
    </row>
    <row r="244" customFormat="false" ht="15" hidden="false" customHeight="true" outlineLevel="0" collapsed="false">
      <c r="A244" s="0" t="s">
        <v>964</v>
      </c>
      <c r="B244" s="0" t="s">
        <v>965</v>
      </c>
      <c r="C244" s="0" t="s">
        <v>381</v>
      </c>
      <c r="D244" s="0" t="s">
        <v>365</v>
      </c>
      <c r="E244" s="102" t="b">
        <f aca="false">TRUE()</f>
        <v>1</v>
      </c>
      <c r="F244" s="0" t="s">
        <v>936</v>
      </c>
      <c r="G244" s="0" t="s">
        <v>367</v>
      </c>
      <c r="H244" s="0" t="s">
        <v>931</v>
      </c>
      <c r="I244" s="0" t="s">
        <v>932</v>
      </c>
      <c r="J244" s="0" t="s">
        <v>937</v>
      </c>
      <c r="K244" s="102" t="b">
        <f aca="false">TRUE()</f>
        <v>1</v>
      </c>
      <c r="L244" s="0" t="s">
        <v>371</v>
      </c>
    </row>
    <row r="245" customFormat="false" ht="15" hidden="false" customHeight="true" outlineLevel="0" collapsed="false">
      <c r="A245" s="0" t="s">
        <v>966</v>
      </c>
      <c r="B245" s="0" t="s">
        <v>967</v>
      </c>
      <c r="C245" s="0" t="s">
        <v>381</v>
      </c>
      <c r="D245" s="0" t="s">
        <v>365</v>
      </c>
      <c r="E245" s="102" t="b">
        <f aca="false">TRUE()</f>
        <v>1</v>
      </c>
      <c r="F245" s="0" t="s">
        <v>425</v>
      </c>
      <c r="G245" s="0" t="s">
        <v>367</v>
      </c>
      <c r="H245" s="0" t="s">
        <v>931</v>
      </c>
      <c r="I245" s="0" t="s">
        <v>932</v>
      </c>
      <c r="J245" s="0" t="s">
        <v>940</v>
      </c>
      <c r="K245" s="102" t="b">
        <f aca="false">TRUE()</f>
        <v>1</v>
      </c>
      <c r="L245" s="0" t="s">
        <v>371</v>
      </c>
    </row>
    <row r="246" customFormat="false" ht="15" hidden="false" customHeight="true" outlineLevel="0" collapsed="false">
      <c r="A246" s="0" t="s">
        <v>968</v>
      </c>
      <c r="B246" s="0" t="s">
        <v>969</v>
      </c>
      <c r="C246" s="0" t="s">
        <v>381</v>
      </c>
      <c r="D246" s="0" t="s">
        <v>365</v>
      </c>
      <c r="E246" s="102" t="b">
        <f aca="false">TRUE()</f>
        <v>1</v>
      </c>
      <c r="F246" s="0" t="s">
        <v>425</v>
      </c>
      <c r="G246" s="0" t="s">
        <v>367</v>
      </c>
      <c r="H246" s="0" t="s">
        <v>931</v>
      </c>
      <c r="I246" s="0" t="s">
        <v>932</v>
      </c>
      <c r="J246" s="0" t="s">
        <v>940</v>
      </c>
      <c r="K246" s="102" t="b">
        <f aca="false">TRUE()</f>
        <v>1</v>
      </c>
      <c r="L246" s="0" t="s">
        <v>371</v>
      </c>
    </row>
    <row r="247" customFormat="false" ht="15" hidden="false" customHeight="true" outlineLevel="0" collapsed="false">
      <c r="A247" s="0" t="s">
        <v>970</v>
      </c>
      <c r="B247" s="0" t="s">
        <v>971</v>
      </c>
      <c r="C247" s="0" t="s">
        <v>381</v>
      </c>
      <c r="D247" s="0" t="s">
        <v>365</v>
      </c>
      <c r="E247" s="102" t="b">
        <f aca="false">TRUE()</f>
        <v>1</v>
      </c>
      <c r="F247" s="0" t="s">
        <v>972</v>
      </c>
      <c r="G247" s="0" t="s">
        <v>367</v>
      </c>
      <c r="H247" s="0" t="s">
        <v>931</v>
      </c>
      <c r="I247" s="0" t="s">
        <v>932</v>
      </c>
      <c r="J247" s="0" t="s">
        <v>933</v>
      </c>
      <c r="K247" s="102" t="b">
        <f aca="false">TRUE()</f>
        <v>1</v>
      </c>
      <c r="L247" s="0" t="s">
        <v>371</v>
      </c>
    </row>
    <row r="248" customFormat="false" ht="15" hidden="false" customHeight="true" outlineLevel="0" collapsed="false">
      <c r="A248" s="0" t="s">
        <v>973</v>
      </c>
      <c r="B248" s="0" t="s">
        <v>974</v>
      </c>
      <c r="C248" s="0" t="s">
        <v>381</v>
      </c>
      <c r="D248" s="0" t="s">
        <v>365</v>
      </c>
      <c r="E248" s="102" t="b">
        <f aca="false">TRUE()</f>
        <v>1</v>
      </c>
      <c r="F248" s="0" t="s">
        <v>936</v>
      </c>
      <c r="G248" s="0" t="s">
        <v>367</v>
      </c>
      <c r="H248" s="0" t="s">
        <v>931</v>
      </c>
      <c r="I248" s="0" t="s">
        <v>932</v>
      </c>
      <c r="J248" s="0" t="s">
        <v>937</v>
      </c>
      <c r="K248" s="102" t="b">
        <f aca="false">TRUE()</f>
        <v>1</v>
      </c>
      <c r="L248" s="0" t="s">
        <v>371</v>
      </c>
    </row>
    <row r="249" customFormat="false" ht="15" hidden="false" customHeight="true" outlineLevel="0" collapsed="false">
      <c r="A249" s="0" t="s">
        <v>975</v>
      </c>
      <c r="B249" s="0" t="s">
        <v>976</v>
      </c>
      <c r="C249" s="0" t="s">
        <v>381</v>
      </c>
      <c r="D249" s="0" t="s">
        <v>365</v>
      </c>
      <c r="E249" s="102" t="b">
        <f aca="false">TRUE()</f>
        <v>1</v>
      </c>
      <c r="F249" s="0" t="s">
        <v>425</v>
      </c>
      <c r="G249" s="0" t="s">
        <v>367</v>
      </c>
      <c r="H249" s="0" t="s">
        <v>931</v>
      </c>
      <c r="I249" s="0" t="s">
        <v>932</v>
      </c>
      <c r="J249" s="0" t="s">
        <v>940</v>
      </c>
      <c r="K249" s="102" t="b">
        <f aca="false">TRUE()</f>
        <v>1</v>
      </c>
      <c r="L249" s="0" t="s">
        <v>371</v>
      </c>
    </row>
    <row r="250" customFormat="false" ht="15" hidden="false" customHeight="true" outlineLevel="0" collapsed="false">
      <c r="A250" s="0" t="s">
        <v>977</v>
      </c>
      <c r="B250" s="0" t="s">
        <v>978</v>
      </c>
      <c r="C250" s="0" t="s">
        <v>381</v>
      </c>
      <c r="D250" s="0" t="s">
        <v>365</v>
      </c>
      <c r="E250" s="102" t="b">
        <f aca="false">TRUE()</f>
        <v>1</v>
      </c>
      <c r="F250" s="0" t="s">
        <v>425</v>
      </c>
      <c r="G250" s="0" t="s">
        <v>367</v>
      </c>
      <c r="H250" s="0" t="s">
        <v>931</v>
      </c>
      <c r="I250" s="0" t="s">
        <v>932</v>
      </c>
      <c r="J250" s="0" t="s">
        <v>940</v>
      </c>
      <c r="K250" s="102" t="b">
        <f aca="false">TRUE()</f>
        <v>1</v>
      </c>
      <c r="L250" s="0" t="s">
        <v>371</v>
      </c>
    </row>
    <row r="251" customFormat="false" ht="15" hidden="false" customHeight="true" outlineLevel="0" collapsed="false">
      <c r="A251" s="0" t="s">
        <v>979</v>
      </c>
      <c r="B251" s="0" t="s">
        <v>980</v>
      </c>
      <c r="C251" s="0" t="s">
        <v>381</v>
      </c>
      <c r="D251" s="0" t="s">
        <v>365</v>
      </c>
      <c r="E251" s="102" t="b">
        <f aca="false">TRUE()</f>
        <v>1</v>
      </c>
      <c r="F251" s="0" t="s">
        <v>981</v>
      </c>
      <c r="G251" s="0" t="s">
        <v>367</v>
      </c>
      <c r="H251" s="0" t="s">
        <v>931</v>
      </c>
      <c r="I251" s="0" t="s">
        <v>932</v>
      </c>
      <c r="J251" s="0" t="s">
        <v>933</v>
      </c>
      <c r="K251" s="102" t="b">
        <f aca="false">TRUE()</f>
        <v>1</v>
      </c>
      <c r="L251" s="0" t="s">
        <v>371</v>
      </c>
    </row>
    <row r="252" customFormat="false" ht="15" hidden="false" customHeight="true" outlineLevel="0" collapsed="false">
      <c r="A252" s="0" t="s">
        <v>982</v>
      </c>
      <c r="B252" s="0" t="s">
        <v>983</v>
      </c>
      <c r="C252" s="0" t="s">
        <v>381</v>
      </c>
      <c r="D252" s="0" t="s">
        <v>365</v>
      </c>
      <c r="E252" s="102" t="b">
        <f aca="false">TRUE()</f>
        <v>1</v>
      </c>
      <c r="F252" s="0" t="s">
        <v>936</v>
      </c>
      <c r="G252" s="0" t="s">
        <v>367</v>
      </c>
      <c r="H252" s="0" t="s">
        <v>931</v>
      </c>
      <c r="I252" s="0" t="s">
        <v>932</v>
      </c>
      <c r="J252" s="0" t="s">
        <v>937</v>
      </c>
      <c r="K252" s="102" t="b">
        <f aca="false">TRUE()</f>
        <v>1</v>
      </c>
      <c r="L252" s="0" t="s">
        <v>371</v>
      </c>
    </row>
    <row r="253" customFormat="false" ht="15" hidden="false" customHeight="true" outlineLevel="0" collapsed="false">
      <c r="A253" s="0" t="s">
        <v>984</v>
      </c>
      <c r="B253" s="0" t="s">
        <v>985</v>
      </c>
      <c r="C253" s="0" t="s">
        <v>381</v>
      </c>
      <c r="D253" s="0" t="s">
        <v>365</v>
      </c>
      <c r="E253" s="102" t="b">
        <f aca="false">TRUE()</f>
        <v>1</v>
      </c>
      <c r="F253" s="0" t="s">
        <v>425</v>
      </c>
      <c r="G253" s="0" t="s">
        <v>367</v>
      </c>
      <c r="H253" s="0" t="s">
        <v>931</v>
      </c>
      <c r="I253" s="0" t="s">
        <v>932</v>
      </c>
      <c r="J253" s="0" t="s">
        <v>940</v>
      </c>
      <c r="K253" s="102" t="b">
        <f aca="false">TRUE()</f>
        <v>1</v>
      </c>
      <c r="L253" s="0" t="s">
        <v>371</v>
      </c>
    </row>
    <row r="254" customFormat="false" ht="15" hidden="false" customHeight="true" outlineLevel="0" collapsed="false">
      <c r="A254" s="0" t="s">
        <v>986</v>
      </c>
      <c r="B254" s="0" t="s">
        <v>987</v>
      </c>
      <c r="C254" s="0" t="s">
        <v>381</v>
      </c>
      <c r="D254" s="0" t="s">
        <v>365</v>
      </c>
      <c r="E254" s="102" t="b">
        <f aca="false">TRUE()</f>
        <v>1</v>
      </c>
      <c r="F254" s="0" t="s">
        <v>425</v>
      </c>
      <c r="G254" s="0" t="s">
        <v>367</v>
      </c>
      <c r="H254" s="0" t="s">
        <v>931</v>
      </c>
      <c r="I254" s="0" t="s">
        <v>932</v>
      </c>
      <c r="J254" s="0" t="s">
        <v>940</v>
      </c>
      <c r="K254" s="102" t="b">
        <f aca="false">TRUE()</f>
        <v>1</v>
      </c>
      <c r="L254" s="0" t="s">
        <v>371</v>
      </c>
    </row>
    <row r="255" customFormat="false" ht="15" hidden="false" customHeight="true" outlineLevel="0" collapsed="false">
      <c r="A255" s="0" t="s">
        <v>988</v>
      </c>
      <c r="B255" s="0" t="s">
        <v>989</v>
      </c>
      <c r="C255" s="0" t="s">
        <v>381</v>
      </c>
      <c r="D255" s="0" t="s">
        <v>365</v>
      </c>
      <c r="E255" s="102" t="b">
        <f aca="false">TRUE()</f>
        <v>1</v>
      </c>
      <c r="F255" s="0" t="s">
        <v>990</v>
      </c>
      <c r="G255" s="0" t="s">
        <v>367</v>
      </c>
      <c r="H255" s="0" t="s">
        <v>931</v>
      </c>
      <c r="I255" s="0" t="s">
        <v>932</v>
      </c>
      <c r="J255" s="0" t="s">
        <v>933</v>
      </c>
      <c r="K255" s="102" t="b">
        <f aca="false">TRUE()</f>
        <v>1</v>
      </c>
      <c r="L255" s="0" t="s">
        <v>371</v>
      </c>
    </row>
    <row r="256" customFormat="false" ht="15" hidden="false" customHeight="true" outlineLevel="0" collapsed="false">
      <c r="A256" s="0" t="s">
        <v>991</v>
      </c>
      <c r="B256" s="0" t="s">
        <v>992</v>
      </c>
      <c r="C256" s="0" t="s">
        <v>381</v>
      </c>
      <c r="D256" s="0" t="s">
        <v>365</v>
      </c>
      <c r="E256" s="102" t="b">
        <f aca="false">TRUE()</f>
        <v>1</v>
      </c>
      <c r="F256" s="0" t="s">
        <v>990</v>
      </c>
      <c r="G256" s="0" t="s">
        <v>367</v>
      </c>
      <c r="H256" s="0" t="s">
        <v>931</v>
      </c>
      <c r="I256" s="0" t="s">
        <v>932</v>
      </c>
      <c r="J256" s="0" t="s">
        <v>933</v>
      </c>
      <c r="K256" s="102" t="b">
        <f aca="false">TRUE()</f>
        <v>1</v>
      </c>
      <c r="L256" s="0" t="s">
        <v>371</v>
      </c>
    </row>
    <row r="257" customFormat="false" ht="15" hidden="false" customHeight="true" outlineLevel="0" collapsed="false">
      <c r="A257" s="0" t="s">
        <v>993</v>
      </c>
      <c r="B257" s="0" t="s">
        <v>994</v>
      </c>
      <c r="C257" s="0" t="s">
        <v>381</v>
      </c>
      <c r="D257" s="0" t="s">
        <v>365</v>
      </c>
      <c r="E257" s="102" t="b">
        <f aca="false">TRUE()</f>
        <v>1</v>
      </c>
      <c r="F257" s="0" t="s">
        <v>990</v>
      </c>
      <c r="G257" s="0" t="s">
        <v>367</v>
      </c>
      <c r="H257" s="0" t="s">
        <v>931</v>
      </c>
      <c r="I257" s="0" t="s">
        <v>932</v>
      </c>
      <c r="J257" s="0" t="s">
        <v>933</v>
      </c>
      <c r="K257" s="102" t="b">
        <f aca="false">TRUE()</f>
        <v>1</v>
      </c>
      <c r="L257" s="0" t="s">
        <v>371</v>
      </c>
    </row>
    <row r="258" customFormat="false" ht="15" hidden="false" customHeight="true" outlineLevel="0" collapsed="false">
      <c r="A258" s="0" t="s">
        <v>995</v>
      </c>
      <c r="B258" s="0" t="s">
        <v>996</v>
      </c>
      <c r="C258" s="0" t="s">
        <v>381</v>
      </c>
      <c r="D258" s="0" t="s">
        <v>365</v>
      </c>
      <c r="E258" s="102" t="b">
        <f aca="false">TRUE()</f>
        <v>1</v>
      </c>
      <c r="F258" s="0" t="s">
        <v>990</v>
      </c>
      <c r="G258" s="0" t="s">
        <v>367</v>
      </c>
      <c r="H258" s="0" t="s">
        <v>931</v>
      </c>
      <c r="I258" s="0" t="s">
        <v>932</v>
      </c>
      <c r="J258" s="0" t="s">
        <v>933</v>
      </c>
      <c r="K258" s="102" t="b">
        <f aca="false">TRUE()</f>
        <v>1</v>
      </c>
      <c r="L258" s="0" t="s">
        <v>371</v>
      </c>
    </row>
    <row r="259" customFormat="false" ht="15" hidden="false" customHeight="true" outlineLevel="0" collapsed="false">
      <c r="A259" s="0" t="s">
        <v>997</v>
      </c>
      <c r="B259" s="0" t="s">
        <v>998</v>
      </c>
      <c r="C259" s="0" t="s">
        <v>381</v>
      </c>
      <c r="D259" s="0" t="s">
        <v>365</v>
      </c>
      <c r="E259" s="102" t="b">
        <f aca="false">TRUE()</f>
        <v>1</v>
      </c>
      <c r="F259" s="0" t="s">
        <v>990</v>
      </c>
      <c r="G259" s="0" t="s">
        <v>367</v>
      </c>
      <c r="H259" s="0" t="s">
        <v>931</v>
      </c>
      <c r="I259" s="0" t="s">
        <v>932</v>
      </c>
      <c r="J259" s="0" t="s">
        <v>933</v>
      </c>
      <c r="K259" s="102" t="b">
        <f aca="false">TRUE()</f>
        <v>1</v>
      </c>
      <c r="L259" s="0" t="s">
        <v>371</v>
      </c>
    </row>
    <row r="260" customFormat="false" ht="15" hidden="false" customHeight="true" outlineLevel="0" collapsed="false">
      <c r="A260" s="0" t="s">
        <v>999</v>
      </c>
      <c r="B260" s="0" t="s">
        <v>1000</v>
      </c>
      <c r="C260" s="0" t="s">
        <v>381</v>
      </c>
      <c r="D260" s="0" t="s">
        <v>365</v>
      </c>
      <c r="E260" s="102" t="b">
        <f aca="false">TRUE()</f>
        <v>1</v>
      </c>
      <c r="F260" s="0" t="s">
        <v>1001</v>
      </c>
      <c r="G260" s="0" t="s">
        <v>367</v>
      </c>
      <c r="H260" s="0" t="s">
        <v>931</v>
      </c>
      <c r="I260" s="0" t="s">
        <v>932</v>
      </c>
      <c r="J260" s="0" t="s">
        <v>1002</v>
      </c>
      <c r="K260" s="102" t="b">
        <f aca="false">TRUE()</f>
        <v>1</v>
      </c>
      <c r="L260" s="0" t="s">
        <v>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2026-02-17T17:01:40Z</dcterms:created>
  <dc:creator>openpyxl</dc:creator>
  <dc:description/>
  <dc:language>en-US</dc:language>
  <cp:lastModifiedBy>Nataliia Ivancho</cp:lastModifiedBy>
  <dcterms:modified xsi:type="dcterms:W3CDTF">2026-06-11T21:10:35Z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